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3530"/>
  <workbookPr defaultThemeVersion="166925"/>
  <bookViews>
    <workbookView xWindow="240" yWindow="120" windowWidth="14940" windowHeight="9225" activeTab="0"/>
  </bookViews>
  <sheets>
    <sheet name="Sheet1" sheetId="1" r:id="rId1"/>
  </sheets>
  <definedNames/>
  <calcPr fullCalcOnLoad="1"/>
  <extLst xmlns="http://schemas.openxmlformats.org/spreadsheetml/2006/main"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<sst xmlns="http://schemas.openxmlformats.org/spreadsheetml/2006/main" count="1341" uniqueCount="738">
  <si>
    <t>STT</t>
  </si>
  <si>
    <t>CONGTYID</t>
  </si>
  <si>
    <t>BẢNG LƯƠNG CÔNG TY</t>
  </si>
  <si>
    <t>SỐ TÀI KHOẢN</t>
  </si>
  <si>
    <t>NGÂN HÀNG</t>
  </si>
  <si>
    <t>BỘ PHẬN CÔNG TÁC</t>
  </si>
  <si>
    <t>HỌ VÀ TÊN</t>
  </si>
  <si>
    <t>CHỨC DANH</t>
  </si>
  <si>
    <t>TẠM ỨNG THÁNG</t>
  </si>
  <si>
    <t xml:space="preserve">LƯƠNG </t>
  </si>
  <si>
    <t>THƯỞNG HIỆU QUẢ</t>
  </si>
  <si>
    <t>PHỤ CẤP</t>
  </si>
  <si>
    <t>GIẢM TRỪ ĐỐI TƯỢNG NỘP THUẾ</t>
  </si>
  <si>
    <t>SỐ NGƯỜI PHỤ THUỘC</t>
  </si>
  <si>
    <t>GIẢM TRỪ GIA CẢNH</t>
  </si>
  <si>
    <t>KHẤU TRỪ</t>
  </si>
  <si>
    <t>TRỢ CẤP THÔI VIỆC</t>
  </si>
  <si>
    <t>THỰC LĨNH</t>
  </si>
  <si>
    <t>GHI CHÚ</t>
  </si>
  <si>
    <t>CHI PHÍ LƯƠNG + PHỤ CẤP</t>
  </si>
  <si>
    <t>CHI PHÍ
 BHXH, BHYT, BHTN, CĐ</t>
  </si>
  <si>
    <t>TỔNG CHI PHÍ NHÂN SỰ</t>
  </si>
  <si>
    <t>QUỸ LƯƠNG BHXH</t>
  </si>
  <si>
    <t>PC TRÁCH NHIỆM</t>
  </si>
  <si>
    <t>ĂN TRƯA</t>
  </si>
  <si>
    <t>ĐIỆN THOẠI</t>
  </si>
  <si>
    <t>VPP</t>
  </si>
  <si>
    <t>TRANG PHỤC</t>
  </si>
  <si>
    <t xml:space="preserve"> DỰ ÁN</t>
  </si>
  <si>
    <t>BHXH 
 (8%)</t>
  </si>
  <si>
    <t>BHYT
(1.5%)</t>
  </si>
  <si>
    <t>BHTN
(1%)</t>
  </si>
  <si>
    <t>CÔNG ĐOÀN PHÍ (1%)</t>
  </si>
  <si>
    <t>TỔNG THU NHẬP TÍNH THUẾ</t>
  </si>
  <si>
    <t>THUẾ TNCN</t>
  </si>
  <si>
    <t>NHANVIENID</t>
  </si>
  <si>
    <t>EMAIL</t>
  </si>
  <si>
    <t>1</t>
  </si>
  <si>
    <t>doan-lh@hipt.vn</t>
  </si>
  <si>
    <t>104</t>
  </si>
  <si>
    <t>1487</t>
  </si>
  <si>
    <t>CÔNG TY CỔ PHẦN TẬP ĐOÀN HIPT</t>
  </si>
  <si>
    <t>CÔNG TY CỔ PHẦN TẬP ĐOÀN HIPT - BAN TỔNG GIÁM ĐỐC</t>
  </si>
  <si>
    <t>Lê Hải Đoàn</t>
  </si>
  <si>
    <t>Tổng giám đốc</t>
  </si>
  <si>
    <t>2</t>
  </si>
  <si>
    <t>ha-vt@hipt.vn</t>
  </si>
  <si>
    <t>1625</t>
  </si>
  <si>
    <t>CÔNG TY CỔ PHẦN TẬP ĐOÀN HIPT - PHÒNG KẾ TOÁN TÀI CHÍNH</t>
  </si>
  <si>
    <t>Võ Thị Hà</t>
  </si>
  <si>
    <t>Kế toán viên</t>
  </si>
  <si>
    <t>3</t>
  </si>
  <si>
    <t>hien-nt@hipt.vn</t>
  </si>
  <si>
    <t>1620</t>
  </si>
  <si>
    <t>Nguyễn Trần Hiền</t>
  </si>
  <si>
    <t>Kế toán trưởng - Trưởng phòng KTTC</t>
  </si>
  <si>
    <t>4</t>
  </si>
  <si>
    <t>ngoc-ptm@hipt.vn</t>
  </si>
  <si>
    <t>1627</t>
  </si>
  <si>
    <t>Phạm Thị Minh Ngọc</t>
  </si>
  <si>
    <t/>
  </si>
  <si>
    <t>5</t>
  </si>
  <si>
    <t>thao-ptt@hipt.vn</t>
  </si>
  <si>
    <t>1851</t>
  </si>
  <si>
    <t>Phạm Thị Phương Thảo</t>
  </si>
  <si>
    <t>6</t>
  </si>
  <si>
    <t>thao-ttp@hipt.vn</t>
  </si>
  <si>
    <t>1850</t>
  </si>
  <si>
    <t>Trần Thị Phương Thảo</t>
  </si>
  <si>
    <t>7</t>
  </si>
  <si>
    <t>trang-btt@hipt.vn</t>
  </si>
  <si>
    <t>1626</t>
  </si>
  <si>
    <t>Bùi Thị Thu Trang</t>
  </si>
  <si>
    <t>8</t>
  </si>
  <si>
    <t>tuyen-nt@hipt.vn</t>
  </si>
  <si>
    <t>1624</t>
  </si>
  <si>
    <t>Nguyễn Thị Tuyến</t>
  </si>
  <si>
    <t>Nhân viên Tài chính</t>
  </si>
  <si>
    <t>9</t>
  </si>
  <si>
    <t>yen-nh@hipt.vn</t>
  </si>
  <si>
    <t>1623</t>
  </si>
  <si>
    <t>Nguyễn Hải Yến</t>
  </si>
  <si>
    <t>Phó Phòng KTTC</t>
  </si>
  <si>
    <t>10</t>
  </si>
  <si>
    <t>admin_hc@hipt.vn</t>
  </si>
  <si>
    <t>1621</t>
  </si>
  <si>
    <t>CÔNG TY CỔ PHẦN TẬP ĐOÀN HIPT - HÀNH CHÍNH</t>
  </si>
  <si>
    <t>Admin</t>
  </si>
  <si>
    <t>11</t>
  </si>
  <si>
    <t>duc-nm@hipt.vn</t>
  </si>
  <si>
    <t>1577</t>
  </si>
  <si>
    <t>Nguyễn Minh Đức</t>
  </si>
  <si>
    <t>Chánh Văn Phòng</t>
  </si>
  <si>
    <t>12</t>
  </si>
  <si>
    <t>hai-nt@hipt.vn</t>
  </si>
  <si>
    <t>1670</t>
  </si>
  <si>
    <t>Nguyễn Thanh Hải</t>
  </si>
  <si>
    <t>Nhân viên</t>
  </si>
  <si>
    <t>13</t>
  </si>
  <si>
    <t>linh-ln@hipt.vn</t>
  </si>
  <si>
    <t>1615</t>
  </si>
  <si>
    <t>Lưu Ngọc Linh</t>
  </si>
  <si>
    <t>Nhân viên Hành chính Nhân sự</t>
  </si>
  <si>
    <t>14</t>
  </si>
  <si>
    <t>mai-nt@hipt.vn</t>
  </si>
  <si>
    <t>1618</t>
  </si>
  <si>
    <t>Nguyễn Thị Mai</t>
  </si>
  <si>
    <t>15</t>
  </si>
  <si>
    <t>linh-nm@hipt.vn</t>
  </si>
  <si>
    <t>1616</t>
  </si>
  <si>
    <t>CÔNG TY CỔ PHẦN TẬP ĐOÀN HIPT - NHÂN SỰ</t>
  </si>
  <si>
    <t>Nguyễn Mỹ Linh</t>
  </si>
  <si>
    <t>Phó phòng Hành chính Nhân sự</t>
  </si>
  <si>
    <t>16</t>
  </si>
  <si>
    <t>minh-dh@hipt.vn</t>
  </si>
  <si>
    <t>1617</t>
  </si>
  <si>
    <t>Đỗ Hồng Minh</t>
  </si>
  <si>
    <t>Chuyên viên Hành chính Nhân sự</t>
  </si>
  <si>
    <t>17</t>
  </si>
  <si>
    <t>ha-ptt@hipt.vn</t>
  </si>
  <si>
    <t>1580</t>
  </si>
  <si>
    <t>CÔNG TY CỔ PHẦN TẬP ĐOÀN HIPT - PHÒNG HỒ SƠ THẦU</t>
  </si>
  <si>
    <t>Phạm Thị Thu Hà</t>
  </si>
  <si>
    <t>Trưởng phòng</t>
  </si>
  <si>
    <t>18</t>
  </si>
  <si>
    <t>ha-ttt@hipt.vn</t>
  </si>
  <si>
    <t>1582</t>
  </si>
  <si>
    <t>Trần Thị Thu Hà</t>
  </si>
  <si>
    <t>19</t>
  </si>
  <si>
    <t>hanh-dth@hipt.vn</t>
  </si>
  <si>
    <t>1583</t>
  </si>
  <si>
    <t>Đào Thị Hồng Hạnh</t>
  </si>
  <si>
    <t>20</t>
  </si>
  <si>
    <t>huong-ntt@hipt.vn</t>
  </si>
  <si>
    <t>1581</t>
  </si>
  <si>
    <t>Nguyễn Thị Thanh Hương</t>
  </si>
  <si>
    <t>21</t>
  </si>
  <si>
    <t>xuyen-pn@hipt.vn</t>
  </si>
  <si>
    <t>1584</t>
  </si>
  <si>
    <t>Phùng Ngọc Xuyến</t>
  </si>
  <si>
    <t>22</t>
  </si>
  <si>
    <t>ha-tth@hipt.vn</t>
  </si>
  <si>
    <t>1585</t>
  </si>
  <si>
    <t>CÔNG TY CỔ PHẦN TẬP ĐOÀN HIPT - PHÒNG MUA HÀNG</t>
  </si>
  <si>
    <t>Trần Thị Hồng Hà</t>
  </si>
  <si>
    <t>23</t>
  </si>
  <si>
    <t>ngan-pk@hipt.vn</t>
  </si>
  <si>
    <t>1587</t>
  </si>
  <si>
    <t>Phan Khánh Ngân</t>
  </si>
  <si>
    <t>24</t>
  </si>
  <si>
    <t>phuong-hh@hipt.vn</t>
  </si>
  <si>
    <t>1586</t>
  </si>
  <si>
    <t>Hoàng Hoài Phương</t>
  </si>
  <si>
    <t>25</t>
  </si>
  <si>
    <t>duong-lv@hipt.vn</t>
  </si>
  <si>
    <t>1515</t>
  </si>
  <si>
    <t xml:space="preserve">CÔNG TY CỔ PHẦN TẬP ĐOÀN HIPT - TRUNG TÂM KINH DOANH FSI </t>
  </si>
  <si>
    <t>Lê Văn Dương</t>
  </si>
  <si>
    <t>26</t>
  </si>
  <si>
    <t>giang-tp@hipt.vn</t>
  </si>
  <si>
    <t>1507</t>
  </si>
  <si>
    <t>Trương Phúc Giang</t>
  </si>
  <si>
    <t>Phó tổng giám đốc</t>
  </si>
  <si>
    <t>27</t>
  </si>
  <si>
    <t>hai-ltt@hipt.vn</t>
  </si>
  <si>
    <t>1511</t>
  </si>
  <si>
    <t>Lê Thị Thu Hải</t>
  </si>
  <si>
    <t>28</t>
  </si>
  <si>
    <t>hung-dv@hipt.vn</t>
  </si>
  <si>
    <t>1510</t>
  </si>
  <si>
    <t xml:space="preserve">Đoàn Văn Hưng </t>
  </si>
  <si>
    <t>29</t>
  </si>
  <si>
    <t>kien-nt@hipt.vn</t>
  </si>
  <si>
    <t>1509</t>
  </si>
  <si>
    <t>Ngô Trung Kiên</t>
  </si>
  <si>
    <t>30</t>
  </si>
  <si>
    <t>long-nc@hipt.vn</t>
  </si>
  <si>
    <t>1514</t>
  </si>
  <si>
    <t>Nguyễn Cẩm Long</t>
  </si>
  <si>
    <t>31</t>
  </si>
  <si>
    <t>ngan-dt@hipt.vn</t>
  </si>
  <si>
    <t>1512</t>
  </si>
  <si>
    <t>Dương Tuyết Ngân</t>
  </si>
  <si>
    <t>32</t>
  </si>
  <si>
    <t>nhung-bh@hipt.vn</t>
  </si>
  <si>
    <t>1508</t>
  </si>
  <si>
    <t>Bùi Hồng Nhung</t>
  </si>
  <si>
    <t>GĐKD</t>
  </si>
  <si>
    <t>33</t>
  </si>
  <si>
    <t>thanh-db@hipt.vn</t>
  </si>
  <si>
    <t>1513</t>
  </si>
  <si>
    <t xml:space="preserve">Dương Bá Thành </t>
  </si>
  <si>
    <t>34</t>
  </si>
  <si>
    <t>tuan-nt@hipt.vn</t>
  </si>
  <si>
    <t>1516</t>
  </si>
  <si>
    <t>Nguyễn Thanh Tuấn</t>
  </si>
  <si>
    <t>35</t>
  </si>
  <si>
    <t>anh-lt@hipt.vn</t>
  </si>
  <si>
    <t>1518</t>
  </si>
  <si>
    <t>CÔNG TY CỔ PHẦN TẬP ĐOÀN HIPT - TRUNG TÂM KINH DOANH GOV</t>
  </si>
  <si>
    <t xml:space="preserve">Lưu Tuấn Anh </t>
  </si>
  <si>
    <t>36</t>
  </si>
  <si>
    <t>chinh-nc@hipt.vn</t>
  </si>
  <si>
    <t>1519</t>
  </si>
  <si>
    <t>Nguyễn Công Chính</t>
  </si>
  <si>
    <t>37</t>
  </si>
  <si>
    <t>ha-dv@hipt.vn</t>
  </si>
  <si>
    <t>1521</t>
  </si>
  <si>
    <t>Dương Việt Hà</t>
  </si>
  <si>
    <t>38</t>
  </si>
  <si>
    <t>hien-ntt@hipt.vn</t>
  </si>
  <si>
    <t>1522</t>
  </si>
  <si>
    <t>Nguyễn Thị Thu Hiền</t>
  </si>
  <si>
    <t>39</t>
  </si>
  <si>
    <t>long-nv@hipt.vn</t>
  </si>
  <si>
    <t>1680</t>
  </si>
  <si>
    <t>Nguyễn Văn Long</t>
  </si>
  <si>
    <t>40</t>
  </si>
  <si>
    <t>nguyet-bm@hipt.vn</t>
  </si>
  <si>
    <t>1523</t>
  </si>
  <si>
    <t>Bùi Minh Nguyệt</t>
  </si>
  <si>
    <t>41</t>
  </si>
  <si>
    <t>nguyet-nt@hipt.vn</t>
  </si>
  <si>
    <t>1524</t>
  </si>
  <si>
    <t>Nguyễn Thị Nguyệt</t>
  </si>
  <si>
    <t>42</t>
  </si>
  <si>
    <t>thang-nq@hipt.vn</t>
  </si>
  <si>
    <t>1520</t>
  </si>
  <si>
    <t>Nguyễn Quang Thắng</t>
  </si>
  <si>
    <t>43</t>
  </si>
  <si>
    <t>tuan-tt@hipt.vn</t>
  </si>
  <si>
    <t>1517</t>
  </si>
  <si>
    <t>Trần Thanh Tuấn</t>
  </si>
  <si>
    <t>44</t>
  </si>
  <si>
    <t>binh-ct@hipt.vn</t>
  </si>
  <si>
    <t>1538</t>
  </si>
  <si>
    <t>CÔNG TY CỔ PHẦN TẬP ĐOÀN HIPT - TRUNG TÂM KINH DOANH DOANH NGHIỆP</t>
  </si>
  <si>
    <t>Cao Thanh Bình</t>
  </si>
  <si>
    <t>45</t>
  </si>
  <si>
    <t>binh-nt2@hipt.vn</t>
  </si>
  <si>
    <t>1527</t>
  </si>
  <si>
    <t>Nguyễn Thanh Bình</t>
  </si>
  <si>
    <t>46</t>
  </si>
  <si>
    <t>duy-td@hipt.vn</t>
  </si>
  <si>
    <t>1528</t>
  </si>
  <si>
    <t>Trần Đức Duy</t>
  </si>
  <si>
    <t>47</t>
  </si>
  <si>
    <t>ha-nt@hipt.vn</t>
  </si>
  <si>
    <t>1533</t>
  </si>
  <si>
    <t>Nguyễn Thị Hà</t>
  </si>
  <si>
    <t>48</t>
  </si>
  <si>
    <t>huong-nt@hipt.vn</t>
  </si>
  <si>
    <t>1529</t>
  </si>
  <si>
    <t>Nguyễn Thanh Hương</t>
  </si>
  <si>
    <t>49</t>
  </si>
  <si>
    <t>long-p@hipt.vn</t>
  </si>
  <si>
    <t>1531</t>
  </si>
  <si>
    <t>Phan Đại Long</t>
  </si>
  <si>
    <t>50</t>
  </si>
  <si>
    <t>ly-bd@hipt.vn</t>
  </si>
  <si>
    <t>1532</t>
  </si>
  <si>
    <t>Bùi Diệu Ly</t>
  </si>
  <si>
    <t>51</t>
  </si>
  <si>
    <t>phuc-dh@hipt.vn</t>
  </si>
  <si>
    <t>1535</t>
  </si>
  <si>
    <t>Đỗ Hải Phúc</t>
  </si>
  <si>
    <t>52</t>
  </si>
  <si>
    <t>phuong-ttt@hipt.vn</t>
  </si>
  <si>
    <t>1530</t>
  </si>
  <si>
    <t>Trần Thị Thu Phương</t>
  </si>
  <si>
    <t>53</t>
  </si>
  <si>
    <t>son-nb@hipt.vn</t>
  </si>
  <si>
    <t>1771</t>
  </si>
  <si>
    <t>Nguyễn Bá Sơn</t>
  </si>
  <si>
    <t>54</t>
  </si>
  <si>
    <t>tan-vt@hipt.vn</t>
  </si>
  <si>
    <t>1536</t>
  </si>
  <si>
    <t>Vũ Trọng Tân</t>
  </si>
  <si>
    <t>55</t>
  </si>
  <si>
    <t>thanh-nt@hipt.vn</t>
  </si>
  <si>
    <t>1578</t>
  </si>
  <si>
    <t>Nguyễn Trần Thành</t>
  </si>
  <si>
    <t>56</t>
  </si>
  <si>
    <t>thuy-pt@hipt.vn</t>
  </si>
  <si>
    <t>1534</t>
  </si>
  <si>
    <t>Phạm Thị Thủy</t>
  </si>
  <si>
    <t>57</t>
  </si>
  <si>
    <t>toan-lm@hipt.vn</t>
  </si>
  <si>
    <t>1526</t>
  </si>
  <si>
    <t>Lê Mạnh Toàn</t>
  </si>
  <si>
    <t>58</t>
  </si>
  <si>
    <t>cuong-nc@hipt.vn</t>
  </si>
  <si>
    <t>1540</t>
  </si>
  <si>
    <t>CÔNG TY CỔ PHẦN TẬP ĐOÀN HIPT - TRUNG TÂM TÍCH HỢP HỆ THỐNG</t>
  </si>
  <si>
    <t>Nguyễn Cao Cường</t>
  </si>
  <si>
    <t>59</t>
  </si>
  <si>
    <t>duc-ca@hipt.vn</t>
  </si>
  <si>
    <t>1547</t>
  </si>
  <si>
    <t>Cao Anh Đức</t>
  </si>
  <si>
    <t>60</t>
  </si>
  <si>
    <t>dung-nv@hipt.vn</t>
  </si>
  <si>
    <t>1546</t>
  </si>
  <si>
    <t>Nguyễn Văn Dũng</t>
  </si>
  <si>
    <t>61</t>
  </si>
  <si>
    <t>giang-dt@hipt.vn</t>
  </si>
  <si>
    <t>1544</t>
  </si>
  <si>
    <t>Đoàn Trường Giang</t>
  </si>
  <si>
    <t>62</t>
  </si>
  <si>
    <t>hung-nd@hipt.vn</t>
  </si>
  <si>
    <t>1541</t>
  </si>
  <si>
    <t>Nguyễn Đức Hưng</t>
  </si>
  <si>
    <t>63</t>
  </si>
  <si>
    <t>nam-nn@hipt.vn</t>
  </si>
  <si>
    <t>1545</t>
  </si>
  <si>
    <t>Nguyễn Nhật Nam</t>
  </si>
  <si>
    <t>64</t>
  </si>
  <si>
    <t>son-bq@hipt.vn</t>
  </si>
  <si>
    <t>1539</t>
  </si>
  <si>
    <t>Bùi Quang Sơn</t>
  </si>
  <si>
    <t>Giám đốc trung tâm</t>
  </si>
  <si>
    <t>65</t>
  </si>
  <si>
    <t>thao-dv@hipt.vn</t>
  </si>
  <si>
    <t>1542</t>
  </si>
  <si>
    <t>Đoàn Văn Thảo</t>
  </si>
  <si>
    <t>66</t>
  </si>
  <si>
    <t>thinh-dd@hipt.vn</t>
  </si>
  <si>
    <t>1543</t>
  </si>
  <si>
    <t>Đỗ Đức Thịnh</t>
  </si>
  <si>
    <t>67</t>
  </si>
  <si>
    <t>anh-dh1@hipt.vn</t>
  </si>
  <si>
    <t>1554</t>
  </si>
  <si>
    <t>CÔNG TY CỔ PHẦN TẬP ĐOÀN HIPT - TRUNG TÂM MẠNG VÀ AN TOÀN THÔNG TIN</t>
  </si>
  <si>
    <t>Đỗ Hoàng Anh</t>
  </si>
  <si>
    <t>68</t>
  </si>
  <si>
    <t>chau-nm@hipt.vn</t>
  </si>
  <si>
    <t>1557</t>
  </si>
  <si>
    <t>Nguyễn Minh Châu</t>
  </si>
  <si>
    <t>69</t>
  </si>
  <si>
    <t>cuong-dm@hipt.vn</t>
  </si>
  <si>
    <t>1553</t>
  </si>
  <si>
    <t>Đỗ Mạnh Cường</t>
  </si>
  <si>
    <t>70</t>
  </si>
  <si>
    <t>dung-nt3@hipt.vn</t>
  </si>
  <si>
    <t>1548</t>
  </si>
  <si>
    <t>Nguyễn Tiến Dũng</t>
  </si>
  <si>
    <t>71</t>
  </si>
  <si>
    <t>giap-nt@hipt.vn</t>
  </si>
  <si>
    <t>1678</t>
  </si>
  <si>
    <t>Nguyễn Thế Giáp</t>
  </si>
  <si>
    <t>Chuyên viên cao cấp</t>
  </si>
  <si>
    <t>72</t>
  </si>
  <si>
    <t>hoan-ld@hipt.vn</t>
  </si>
  <si>
    <t>1772</t>
  </si>
  <si>
    <t>Lê Đình Hoàn</t>
  </si>
  <si>
    <t>Chuyên viên</t>
  </si>
  <si>
    <t>73</t>
  </si>
  <si>
    <t>khanh-vn@hipt.vn</t>
  </si>
  <si>
    <t>1560</t>
  </si>
  <si>
    <t>Vũ Ngọc Khánh</t>
  </si>
  <si>
    <t>74</t>
  </si>
  <si>
    <t>nam-pg@hipt.vn</t>
  </si>
  <si>
    <t>1559</t>
  </si>
  <si>
    <t>Phan Giang Nam</t>
  </si>
  <si>
    <t>75</t>
  </si>
  <si>
    <t>oanh-dt@hipt.vn</t>
  </si>
  <si>
    <t>1773</t>
  </si>
  <si>
    <t>Dương Thị Oanh</t>
  </si>
  <si>
    <t>76</t>
  </si>
  <si>
    <t>quan-nt@hipt.vn</t>
  </si>
  <si>
    <t>1555</t>
  </si>
  <si>
    <t>Ngô Thành Quân</t>
  </si>
  <si>
    <t>77</t>
  </si>
  <si>
    <t>thang-nt@hipt.vn</t>
  </si>
  <si>
    <t>1552</t>
  </si>
  <si>
    <t>Ngô Toàn Thắng</t>
  </si>
  <si>
    <t>78</t>
  </si>
  <si>
    <t>truc-mt@hipt.vn</t>
  </si>
  <si>
    <t>1550</t>
  </si>
  <si>
    <t>Mai Thanh Trúc</t>
  </si>
  <si>
    <t>79</t>
  </si>
  <si>
    <t>tu-tv@hipt.vn</t>
  </si>
  <si>
    <t>1549</t>
  </si>
  <si>
    <t>Trần Việt Tú</t>
  </si>
  <si>
    <t>80</t>
  </si>
  <si>
    <t>viet-ph@hipt.vn</t>
  </si>
  <si>
    <t>1558</t>
  </si>
  <si>
    <t>Phan Hoàng Việt</t>
  </si>
  <si>
    <t>81</t>
  </si>
  <si>
    <t>vu-hm@hipt.vn</t>
  </si>
  <si>
    <t>1556</t>
  </si>
  <si>
    <t>Hà Minh Vũ</t>
  </si>
  <si>
    <t>82</t>
  </si>
  <si>
    <t>hai-tt@hipt.vn</t>
  </si>
  <si>
    <t>1562</t>
  </si>
  <si>
    <t>CÔNG TY CỔ PHẦN TẬP ĐOÀN HIPT - PHÒNG HẠ TẦNG CNTT</t>
  </si>
  <si>
    <t>Trịnh Thanh Hải</t>
  </si>
  <si>
    <t>83</t>
  </si>
  <si>
    <t>ngoc-hd@hipt.vn</t>
  </si>
  <si>
    <t>1563</t>
  </si>
  <si>
    <t>Hoàng Đặng Ngọc</t>
  </si>
  <si>
    <t>84</t>
  </si>
  <si>
    <t>ninh-hv@hipt.vn</t>
  </si>
  <si>
    <t>1561</t>
  </si>
  <si>
    <t>Hoàng Văn Ninh</t>
  </si>
  <si>
    <t>85</t>
  </si>
  <si>
    <t>hung-nt1@hipt.vn</t>
  </si>
  <si>
    <t>1568</t>
  </si>
  <si>
    <t>CÔNG TY CỔ PHẦN TẬP ĐOÀN HIPT - PHÒNG TRIỂN KHAI</t>
  </si>
  <si>
    <t>Nguyễn Tiến Hưng</t>
  </si>
  <si>
    <t>86</t>
  </si>
  <si>
    <t>phuc-tx@hipt.vn</t>
  </si>
  <si>
    <t>1567</t>
  </si>
  <si>
    <t>Trần Xuân Phúc</t>
  </si>
  <si>
    <t>87</t>
  </si>
  <si>
    <t>quang-nn@hipt.vn</t>
  </si>
  <si>
    <t>1569</t>
  </si>
  <si>
    <t>Nguyễn Ngọc Quang</t>
  </si>
  <si>
    <t>88</t>
  </si>
  <si>
    <t>sao-nv@hipt.vn</t>
  </si>
  <si>
    <t>1564</t>
  </si>
  <si>
    <t>Nguyễn Văn Sao</t>
  </si>
  <si>
    <t>89</t>
  </si>
  <si>
    <t>thang-nk@hipt.vn</t>
  </si>
  <si>
    <t>1673</t>
  </si>
  <si>
    <t>Nguyễn Kiêm Thắng</t>
  </si>
  <si>
    <t>90</t>
  </si>
  <si>
    <t>tuyen-pt@hipt.vn</t>
  </si>
  <si>
    <t>1565</t>
  </si>
  <si>
    <t>Phạm Thị Tuyến</t>
  </si>
  <si>
    <t>91</t>
  </si>
  <si>
    <t>vuong-pq@hipt.vn</t>
  </si>
  <si>
    <t>1566</t>
  </si>
  <si>
    <t>Phạm Quốc Vượng</t>
  </si>
  <si>
    <t>92</t>
  </si>
  <si>
    <t>chau-vh@hipt.vn</t>
  </si>
  <si>
    <t>1572</t>
  </si>
  <si>
    <t>CÔNG TY CỔ PHẦN TẬP ĐOÀN HIPT - TRUNG TÂM BẢO HÀNH</t>
  </si>
  <si>
    <t>Võ Hoài Châu</t>
  </si>
  <si>
    <t>93</t>
  </si>
  <si>
    <t>duc-hm@hipt.vn</t>
  </si>
  <si>
    <t>1574</t>
  </si>
  <si>
    <t>Hoàng Minh Đức</t>
  </si>
  <si>
    <t>94</t>
  </si>
  <si>
    <t>nam-nd@hipt.vn</t>
  </si>
  <si>
    <t>1573</t>
  </si>
  <si>
    <t>Nguyễn Đình Nam</t>
  </si>
  <si>
    <t>95</t>
  </si>
  <si>
    <t>tu-nt@hipt.vn</t>
  </si>
  <si>
    <t>1571</t>
  </si>
  <si>
    <t>Nguyễn Trọng Tú</t>
  </si>
  <si>
    <t>96</t>
  </si>
  <si>
    <t>tung-nn@hipt.vn</t>
  </si>
  <si>
    <t>1570</t>
  </si>
  <si>
    <t>Nguyễn Ngọc Tùng</t>
  </si>
  <si>
    <t>97</t>
  </si>
  <si>
    <t>vinh-l@hipt.vn</t>
  </si>
  <si>
    <t>1575</t>
  </si>
  <si>
    <t>Lê Vinh</t>
  </si>
  <si>
    <t>98</t>
  </si>
  <si>
    <t>trang-nt@hipt.vn</t>
  </si>
  <si>
    <t>1688</t>
  </si>
  <si>
    <t>CÔNG TY CỔ PHẦN TẬP ĐOÀN HIPT - TRỢ LÝ BAN TỔNG GIÁM ĐỐC</t>
  </si>
  <si>
    <t>Nguyễn Thu Trang</t>
  </si>
  <si>
    <t>99</t>
  </si>
  <si>
    <t>cuong-lq@hipt.vn</t>
  </si>
  <si>
    <t>1628</t>
  </si>
  <si>
    <t>CÔNG TY TNHH HIPT PHẦN MỀM - PHÒNG KINH DOANH HIPT PHẦN MỀM</t>
  </si>
  <si>
    <t>Lê Quí Cường</t>
  </si>
  <si>
    <t>100</t>
  </si>
  <si>
    <t>duong-nt@hipt.vn</t>
  </si>
  <si>
    <t>Nguyễn Tuấn Dương</t>
  </si>
  <si>
    <t>Phó Trưởng phòng</t>
  </si>
  <si>
    <t>101</t>
  </si>
  <si>
    <t>hung-pv@hipt.vn</t>
  </si>
  <si>
    <t>1748</t>
  </si>
  <si>
    <t>Phạm Việt Hùng</t>
  </si>
  <si>
    <t>102</t>
  </si>
  <si>
    <t>le-tn@hipt.vn</t>
  </si>
  <si>
    <t>1629</t>
  </si>
  <si>
    <t>Trần Ngọc Lê</t>
  </si>
  <si>
    <t>103</t>
  </si>
  <si>
    <t>nhan-nt@hipt.vn</t>
  </si>
  <si>
    <t>1594</t>
  </si>
  <si>
    <t>Nguyễn Tiến Nhân</t>
  </si>
  <si>
    <t>Giám đốc kinh doanh</t>
  </si>
  <si>
    <t>thao-dt@hipt.vn</t>
  </si>
  <si>
    <t>1630</t>
  </si>
  <si>
    <t>Đỗ Thị Thảo</t>
  </si>
  <si>
    <t>105</t>
  </si>
  <si>
    <t>van-nth@hipt.vn</t>
  </si>
  <si>
    <t>1852</t>
  </si>
  <si>
    <t>Nguyễn Thị Hải Vân</t>
  </si>
  <si>
    <t>106</t>
  </si>
  <si>
    <t>anh-nm@hipt.vn</t>
  </si>
  <si>
    <t>1622</t>
  </si>
  <si>
    <t>CÔNG TY TNHH HIPT PHẦN MỀM - BAN GIÁM ĐỐC HIPT PHẦN MỀM</t>
  </si>
  <si>
    <t>Nguyễn Minh Anh</t>
  </si>
  <si>
    <t>Phó Giám đốc</t>
  </si>
  <si>
    <t>107</t>
  </si>
  <si>
    <t>phuc-ht@hipt.vn</t>
  </si>
  <si>
    <t>153</t>
  </si>
  <si>
    <t>Hoàng Thanh Phúc</t>
  </si>
  <si>
    <t>Phó Tổng Giám đốc / Giám đốc Công ty TNHH HIPT Phần mềm</t>
  </si>
  <si>
    <t>108</t>
  </si>
  <si>
    <t>bac-dh@hipt.vn</t>
  </si>
  <si>
    <t>1635</t>
  </si>
  <si>
    <t>CÔNG TY TNHH HIPT PHẦN MỀM - PHÒNG 1 (CAMELS)</t>
  </si>
  <si>
    <t>Đỗ Hoài Bắc</t>
  </si>
  <si>
    <t>N/A</t>
  </si>
  <si>
    <t>109</t>
  </si>
  <si>
    <t>dung-lt@hipt.vn</t>
  </si>
  <si>
    <t>1643</t>
  </si>
  <si>
    <t>Lê Thùy Dung</t>
  </si>
  <si>
    <t>110</t>
  </si>
  <si>
    <t>giang-pt@hipt.vn</t>
  </si>
  <si>
    <t>1644</t>
  </si>
  <si>
    <t>Phạm Thu Giang</t>
  </si>
  <si>
    <t>111</t>
  </si>
  <si>
    <t>hang-ttl@hipt.vn</t>
  </si>
  <si>
    <t>1641</t>
  </si>
  <si>
    <t>Trần Thị Linh Hằng</t>
  </si>
  <si>
    <t>112</t>
  </si>
  <si>
    <t>hoa-ntv@hipt.vn</t>
  </si>
  <si>
    <t>1636</t>
  </si>
  <si>
    <t>Nguyễn Thị Vương Hòa</t>
  </si>
  <si>
    <t>113</t>
  </si>
  <si>
    <t>luc-dv@hipt.vn</t>
  </si>
  <si>
    <t>1642</t>
  </si>
  <si>
    <t>Đinh Văn Lực</t>
  </si>
  <si>
    <t>114</t>
  </si>
  <si>
    <t>nhung-dt@hipt.vn</t>
  </si>
  <si>
    <t>1637</t>
  </si>
  <si>
    <t>Đoàn Thị Nhung</t>
  </si>
  <si>
    <t>115</t>
  </si>
  <si>
    <t>ninh-nh@hipt.vn</t>
  </si>
  <si>
    <t>1639</t>
  </si>
  <si>
    <t>Nguyễn Hà Ninh</t>
  </si>
  <si>
    <t>116</t>
  </si>
  <si>
    <t>sac-dts@hipt.vn</t>
  </si>
  <si>
    <t>1634</t>
  </si>
  <si>
    <t>Đỗ Thị Sinh Sắc</t>
  </si>
  <si>
    <t>Nhân viên Phân tích nghiệp vụ</t>
  </si>
  <si>
    <t>117</t>
  </si>
  <si>
    <t>san-nt@hipt.vn</t>
  </si>
  <si>
    <t>1638</t>
  </si>
  <si>
    <t>Nguyễn Trường San</t>
  </si>
  <si>
    <t>118</t>
  </si>
  <si>
    <t>tham-tt@hipt.vn</t>
  </si>
  <si>
    <t>1646</t>
  </si>
  <si>
    <t>Trịnh Thị Thắm</t>
  </si>
  <si>
    <t>119</t>
  </si>
  <si>
    <t>thuy-nt1@hipt.vn</t>
  </si>
  <si>
    <t>1640</t>
  </si>
  <si>
    <t>Nguyễn Thị Thủy</t>
  </si>
  <si>
    <t>120</t>
  </si>
  <si>
    <t>tien-nt@hipt.vn</t>
  </si>
  <si>
    <t>1645</t>
  </si>
  <si>
    <t>Nguyễn Thị Tiền</t>
  </si>
  <si>
    <t>121</t>
  </si>
  <si>
    <t>tu-ht@hipt.vn</t>
  </si>
  <si>
    <t>1633</t>
  </si>
  <si>
    <t>Hoàng Thanh Tú</t>
  </si>
  <si>
    <t>122</t>
  </si>
  <si>
    <t>anh-np@hipt.vn</t>
  </si>
  <si>
    <t>1654</t>
  </si>
  <si>
    <t>CÔNG TY TNHH HIPT PHẦN MỀM - PHÒNG 3 (IBPS)</t>
  </si>
  <si>
    <t>Nguyễn Thị Phương Anh</t>
  </si>
  <si>
    <t>123</t>
  </si>
  <si>
    <t>cuong-vv@hipt.vn</t>
  </si>
  <si>
    <t>1647</t>
  </si>
  <si>
    <t>Vũ Văn Cường</t>
  </si>
  <si>
    <t>124</t>
  </si>
  <si>
    <t>huy-tq@hipt.vn</t>
  </si>
  <si>
    <t>1652</t>
  </si>
  <si>
    <t>Trần Quang Huy</t>
  </si>
  <si>
    <t>125</t>
  </si>
  <si>
    <t>nam-nm@hipt.vn</t>
  </si>
  <si>
    <t>1649</t>
  </si>
  <si>
    <t>Nguyễn Minh Nam</t>
  </si>
  <si>
    <t>126</t>
  </si>
  <si>
    <t>nguyen-da@hipt.vn</t>
  </si>
  <si>
    <t>1648</t>
  </si>
  <si>
    <t>Đào Anh Nguyên</t>
  </si>
  <si>
    <t>Phó phòng</t>
  </si>
  <si>
    <t>127</t>
  </si>
  <si>
    <t>trung-nv@hipt.vn</t>
  </si>
  <si>
    <t>1650</t>
  </si>
  <si>
    <t>Nguyễn Văn Trung</t>
  </si>
  <si>
    <t>128</t>
  </si>
  <si>
    <t>tuan-nm@hipt.vn</t>
  </si>
  <si>
    <t>1651</t>
  </si>
  <si>
    <t>Nguyễn Mạnh Tuấn</t>
  </si>
  <si>
    <t>129</t>
  </si>
  <si>
    <t>xen-tt@hipt.vn</t>
  </si>
  <si>
    <t>1653</t>
  </si>
  <si>
    <t>Trương Thị Xen</t>
  </si>
  <si>
    <t>130</t>
  </si>
  <si>
    <t>anh-dh@hipt.vn</t>
  </si>
  <si>
    <t>1664</t>
  </si>
  <si>
    <t>CÔNG TY TNHH HIPT PHẦN MỀM - PHÒNG 4 (TÀI CHÍNH CÔNG)</t>
  </si>
  <si>
    <t>Đỗ Hoài Anh</t>
  </si>
  <si>
    <t>131</t>
  </si>
  <si>
    <t>anh-lh@hipt.vn</t>
  </si>
  <si>
    <t>1655</t>
  </si>
  <si>
    <t>Lê Hải Anh</t>
  </si>
  <si>
    <t>132</t>
  </si>
  <si>
    <t>chinh-vd@hipt.vn</t>
  </si>
  <si>
    <t>1666</t>
  </si>
  <si>
    <t>Vũ Đức Chính</t>
  </si>
  <si>
    <t>133</t>
  </si>
  <si>
    <t>doanh-lv@hipt.vn</t>
  </si>
  <si>
    <t>1659</t>
  </si>
  <si>
    <t>Lương Văn Doanh</t>
  </si>
  <si>
    <t>134</t>
  </si>
  <si>
    <t>dung-np@hipt.vn</t>
  </si>
  <si>
    <t>1663</t>
  </si>
  <si>
    <t>Nguyễn Phương Dung</t>
  </si>
  <si>
    <t>135</t>
  </si>
  <si>
    <t>giang-dtt@hipt.vn</t>
  </si>
  <si>
    <t>1657</t>
  </si>
  <si>
    <t>Đặng Thị Châu Giang</t>
  </si>
  <si>
    <t>136</t>
  </si>
  <si>
    <t>hoang-ln@hipt.vn</t>
  </si>
  <si>
    <t>1656</t>
  </si>
  <si>
    <t>Lê Ngọc Hoàng</t>
  </si>
  <si>
    <t>137</t>
  </si>
  <si>
    <t>linh-tk@hipt.vn</t>
  </si>
  <si>
    <t>1830</t>
  </si>
  <si>
    <t>Trần Khánh Linh</t>
  </si>
  <si>
    <t>138</t>
  </si>
  <si>
    <t>nguyet-dt@hipt.vn</t>
  </si>
  <si>
    <t>1661</t>
  </si>
  <si>
    <t>Dương Thị Nguyệt</t>
  </si>
  <si>
    <t>139</t>
  </si>
  <si>
    <t>oanh-nt@hipt.vn</t>
  </si>
  <si>
    <t>1660</t>
  </si>
  <si>
    <t>Nguyễn Thị Oanh</t>
  </si>
  <si>
    <t>140</t>
  </si>
  <si>
    <t>phu-qn@hipt.vn</t>
  </si>
  <si>
    <t>1658</t>
  </si>
  <si>
    <t>Quách Ngọc Phú</t>
  </si>
  <si>
    <t>141</t>
  </si>
  <si>
    <t>phuong-lth@hipt.vn</t>
  </si>
  <si>
    <t>1662</t>
  </si>
  <si>
    <t>Lê Thị Hồng Phượng</t>
  </si>
  <si>
    <t>142</t>
  </si>
  <si>
    <t>quang-nn1@hipt.vn</t>
  </si>
  <si>
    <t>1668</t>
  </si>
  <si>
    <t>143</t>
  </si>
  <si>
    <t>tien-pv@hipt.vn</t>
  </si>
  <si>
    <t>1669</t>
  </si>
  <si>
    <t>Phạm Văn Tiến</t>
  </si>
  <si>
    <t>144</t>
  </si>
  <si>
    <t>tra-nm@hipt.vn</t>
  </si>
  <si>
    <t>1810</t>
  </si>
  <si>
    <t>Nguyễn Minh Trà</t>
  </si>
  <si>
    <t>145</t>
  </si>
  <si>
    <t>tuan-tt1@hipt.vn</t>
  </si>
  <si>
    <t>1667</t>
  </si>
  <si>
    <t>Trương Trọng Tuấn</t>
  </si>
  <si>
    <t>146</t>
  </si>
  <si>
    <t>an-nt@hipt.vn</t>
  </si>
  <si>
    <t>1770</t>
  </si>
  <si>
    <t>VĂN PHÒNG HỒ CHÍ MINH - CHI NHÁNH HỒ CHÍ MINH</t>
  </si>
  <si>
    <t>Nguyễn Thiên An</t>
  </si>
  <si>
    <t>147</t>
  </si>
  <si>
    <t>anh-ntt@hipt.vn</t>
  </si>
  <si>
    <t>1598</t>
  </si>
  <si>
    <t>Nguyễn Thị Tú Anh</t>
  </si>
  <si>
    <t>148</t>
  </si>
  <si>
    <t>chau-ntd@hipt.vn</t>
  </si>
  <si>
    <t>1674</t>
  </si>
  <si>
    <t>Ngô Thị Diễm Châu</t>
  </si>
  <si>
    <t>Sale Manager</t>
  </si>
  <si>
    <t>149</t>
  </si>
  <si>
    <t>dang-pnc@hipt.vn</t>
  </si>
  <si>
    <t>1609</t>
  </si>
  <si>
    <t>Phạm Nguyễn Cao Đằng</t>
  </si>
  <si>
    <t>Phó Tổng Giám đốc</t>
  </si>
  <si>
    <t>150</t>
  </si>
  <si>
    <t>liem-lt@hipt.vn</t>
  </si>
  <si>
    <t>1681</t>
  </si>
  <si>
    <t>Lữ Thanh Liêm</t>
  </si>
  <si>
    <t>151</t>
  </si>
  <si>
    <t>linh-dtt@hipt.vn</t>
  </si>
  <si>
    <t>1590</t>
  </si>
  <si>
    <t>Đặng Thị Thùy Linh</t>
  </si>
  <si>
    <t>152</t>
  </si>
  <si>
    <t>linh-nlk@hipt.vn</t>
  </si>
  <si>
    <t>1791</t>
  </si>
  <si>
    <t>Nguyễn Lưu Khánh Linh</t>
  </si>
  <si>
    <t>minh-nvh@hipt.vn</t>
  </si>
  <si>
    <t>1611</t>
  </si>
  <si>
    <t>Nguyễn Vũ Hồng Minh</t>
  </si>
  <si>
    <t>Cán bộ Kinh doanh</t>
  </si>
  <si>
    <t>154</t>
  </si>
  <si>
    <t>tram-ntb@hipt.vn</t>
  </si>
  <si>
    <t>1677</t>
  </si>
  <si>
    <t>Ngô Thị Bích Trâm</t>
  </si>
  <si>
    <t>155</t>
  </si>
  <si>
    <t>tue-th@hipt.vn</t>
  </si>
  <si>
    <t>1675</t>
  </si>
  <si>
    <t>Trần Hữu Tuệ</t>
  </si>
  <si>
    <t>156</t>
  </si>
  <si>
    <t>viet-nvh@hipt.vn</t>
  </si>
  <si>
    <t>1610</t>
  </si>
  <si>
    <t>Nguyễn Vinh Hoàng Việt</t>
  </si>
  <si>
    <t>157</t>
  </si>
  <si>
    <t>vu-nh@hipt.vn</t>
  </si>
  <si>
    <t>1676</t>
  </si>
  <si>
    <t>Nguyễn Hoàng Vũ</t>
  </si>
  <si>
    <t>Sales Manager</t>
  </si>
  <si>
    <t>158</t>
  </si>
  <si>
    <t>vuong-lb@hipt.vn</t>
  </si>
  <si>
    <t>1749</t>
  </si>
  <si>
    <t>Lâm Bảo Vương</t>
  </si>
  <si>
    <t>159</t>
  </si>
  <si>
    <t>an-th@hipt.vn</t>
  </si>
  <si>
    <t>1588</t>
  </si>
  <si>
    <t>VĂN PHÒNG HỒ CHÍ MINH - TRUNG TÂM KINH DOANH SÀI GÒN</t>
  </si>
  <si>
    <t>Trần Hoài Ân</t>
  </si>
  <si>
    <t>160</t>
  </si>
  <si>
    <t>anhsc-nt@hipt.vn</t>
  </si>
  <si>
    <t>1592</t>
  </si>
  <si>
    <t>Nguyễn Thế Anh</t>
  </si>
  <si>
    <t>161</t>
  </si>
  <si>
    <t>dungsc-lv@hipt.vn</t>
  </si>
  <si>
    <t>1589</t>
  </si>
  <si>
    <t>Lê Việt Dũng</t>
  </si>
  <si>
    <t>Giám đốc chi nhánh</t>
  </si>
  <si>
    <t>162</t>
  </si>
  <si>
    <t>quang-tt@hipt.vn</t>
  </si>
  <si>
    <t>1672</t>
  </si>
  <si>
    <t>Trần Thanh Quang</t>
  </si>
  <si>
    <t>163</t>
  </si>
  <si>
    <t>thu-pga@hipt.vn</t>
  </si>
  <si>
    <t>1671</t>
  </si>
  <si>
    <t>Phạm Gia Anh Thư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</si>
</sst>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\-??_);_(@_)"/>
  </numFmts>
  <fonts count="12"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8"/>
      <color theme="0"/>
      <name val="Times New Roman"/>
      <family val="1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sz val="8"/>
      <color theme="0"/>
      <name val="Times New Roman"/>
      <family val="1"/>
    </font>
    <font>
      <sz val="10.5"/>
      <name val="Times New Roman"/>
      <family val="1"/>
    </font>
    <font>
      <sz val="11"/>
      <name val="Times New Roman"/>
      <family val="1"/>
    </font>
    <font>
      <sz val="11"/>
      <color indexed="8"/>
      <name val="Times New Roman"/>
      <family val="1"/>
    </font>
    <font>
      <b/>
      <i/>
      <sz val="10.5"/>
      <color indexed="10"/>
      <name val="Times New Roman"/>
      <family val="1"/>
    </font>
    <font>
      <sz val="8"/>
      <name val="Times New Roman"/>
      <family val="1"/>
    </font>
    <font>
      <sz val="11"/>
      <color rgb="FF000000"/>
      <name val="Times New Roman"/>
      <family val="1"/>
    </font>
  </fonts>
  <fills count="8">
    <fill>
      <patternFill/>
    </fill>
    <fill>
      <patternFill patternType="gray125"/>
    </fill>
    <fill>
      <patternFill patternType="solid">
        <fgColor theme="4" tint="-0.24997000396251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249970003962517"/>
        <bgColor indexed="64"/>
      </patternFill>
    </fill>
    <fill>
      <patternFill patternType="solid">
        <fgColor theme="9" tint="0.399980008602142"/>
        <bgColor indexed="64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indexed="8"/>
      </left>
      <right style="thin">
        <color indexed="8"/>
      </right>
      <top style="thin">
        <color indexed="8"/>
      </top>
      <bottom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/>
      <top style="thin"/>
      <bottom style="thin"/>
    </border>
    <border>
      <left/>
      <right/>
      <top style="thin"/>
      <bottom style="thin"/>
    </border>
    <border>
      <left/>
      <right style="thin"/>
      <top style="thin"/>
      <bottom style="thin"/>
    </border>
    <border>
      <left style="thin"/>
      <right style="thin"/>
      <top style="thin"/>
      <bottom/>
    </border>
    <border>
      <left style="thin"/>
      <right style="thin"/>
      <top/>
      <bottom style="thin"/>
    </border>
  </borders>
  <cellStyleXfs count="21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>
      <alignment/>
      <protection/>
    </xf>
  </cellStyleXfs>
  <cellXfs count="4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3" fillId="2" borderId="2" xfId="0" applyFont="1" applyFill="1" applyBorder="1" applyAlignment="1">
      <alignment horizontal="center" vertical="center" wrapText="1"/>
    </xf>
    <xf numFmtId="3" fontId="6" fillId="0" borderId="1" xfId="20" applyNumberFormat="1" applyFont="1" applyBorder="1" applyAlignment="1">
      <alignment horizontal="center" vertical="center"/>
      <protection/>
    </xf>
    <xf numFmtId="164" fontId="7" fillId="3" borderId="1" xfId="18" applyNumberFormat="1" applyFont="1" applyFill="1" applyBorder="1" applyAlignment="1">
      <alignment vertical="center"/>
    </xf>
    <xf numFmtId="3" fontId="7" fillId="4" borderId="1" xfId="0" applyNumberFormat="1" applyFont="1" applyFill="1" applyBorder="1" applyAlignment="1">
      <alignment horizontal="right" vertical="center"/>
    </xf>
    <xf numFmtId="41" fontId="7" fillId="3" borderId="1" xfId="20" applyNumberFormat="1" applyFont="1" applyFill="1" applyBorder="1" applyAlignment="1">
      <alignment horizontal="right" vertical="center"/>
      <protection/>
    </xf>
    <xf numFmtId="41" fontId="7" fillId="3" borderId="1" xfId="20" applyNumberFormat="1" applyFont="1" applyFill="1" applyBorder="1" applyAlignment="1">
      <alignment vertical="center"/>
      <protection/>
    </xf>
    <xf numFmtId="3" fontId="7" fillId="4" borderId="1" xfId="0" applyNumberFormat="1" applyFont="1" applyFill="1" applyBorder="1" applyAlignment="1">
      <alignment vertical="center"/>
    </xf>
    <xf numFmtId="3" fontId="7" fillId="0" borderId="1" xfId="0" applyNumberFormat="1" applyFont="1" applyBorder="1" applyAlignment="1">
      <alignment vertical="center"/>
    </xf>
    <xf numFmtId="3" fontId="6" fillId="0" borderId="1" xfId="0" applyNumberFormat="1" applyFont="1" applyBorder="1" applyAlignment="1">
      <alignment horizontal="right" vertical="center"/>
    </xf>
    <xf numFmtId="3" fontId="6" fillId="5" borderId="1" xfId="0" applyNumberFormat="1" applyFont="1" applyFill="1" applyBorder="1" applyAlignment="1">
      <alignment horizontal="right" vertical="center"/>
    </xf>
    <xf numFmtId="0" fontId="7" fillId="5" borderId="1" xfId="0" applyFont="1" applyFill="1" applyBorder="1" applyAlignment="1">
      <alignment vertical="center"/>
    </xf>
    <xf numFmtId="41" fontId="7" fillId="5" borderId="1" xfId="20" applyNumberFormat="1" applyFont="1" applyFill="1" applyBorder="1" applyAlignment="1">
      <alignment horizontal="right" vertical="center"/>
      <protection/>
    </xf>
    <xf numFmtId="164" fontId="7" fillId="5" borderId="1" xfId="18" applyNumberFormat="1" applyFont="1" applyFill="1" applyBorder="1" applyAlignment="1">
      <alignment vertical="center"/>
    </xf>
    <xf numFmtId="41" fontId="7" fillId="5" borderId="1" xfId="20" applyNumberFormat="1" applyFont="1" applyFill="1" applyBorder="1" applyAlignment="1">
      <alignment vertical="center"/>
      <protection/>
    </xf>
    <xf numFmtId="41" fontId="9" fillId="5" borderId="1" xfId="20" applyNumberFormat="1" applyFont="1" applyFill="1" applyBorder="1" applyAlignment="1">
      <alignment vertical="center"/>
      <protection/>
    </xf>
    <xf numFmtId="0" fontId="10" fillId="5" borderId="1" xfId="0" applyFont="1" applyFill="1" applyBorder="1" applyAlignment="1">
      <alignment horizontal="left" vertical="center" wrapText="1"/>
    </xf>
    <xf numFmtId="0" fontId="6" fillId="5" borderId="1" xfId="20" applyFont="1" applyFill="1" applyBorder="1" applyAlignment="1">
      <alignment horizontal="center" vertical="center"/>
      <protection/>
    </xf>
    <xf numFmtId="164" fontId="10" fillId="5" borderId="1" xfId="18" applyNumberFormat="1" applyFont="1" applyFill="1" applyBorder="1" applyAlignment="1">
      <alignment horizontal="left" vertical="center"/>
    </xf>
    <xf numFmtId="0" fontId="7" fillId="3" borderId="1" xfId="20" applyFont="1" applyFill="1" applyBorder="1" applyAlignment="1">
      <alignment horizontal="left" vertical="center" wrapText="1"/>
      <protection/>
    </xf>
    <xf numFmtId="0" fontId="6" fillId="5" borderId="1" xfId="0" applyFont="1" applyFill="1" applyBorder="1" applyAlignment="1">
      <alignment horizontal="left" vertical="center" wrapText="1"/>
    </xf>
    <xf numFmtId="0" fontId="8" fillId="5" borderId="1" xfId="20" applyFont="1" applyFill="1" applyBorder="1" applyAlignment="1">
      <alignment horizontal="left" vertical="center" wrapText="1"/>
      <protection/>
    </xf>
    <xf numFmtId="0" fontId="11" fillId="5" borderId="1" xfId="0" applyFont="1" applyFill="1" applyBorder="1" applyAlignment="1">
      <alignment horizontal="left" wrapText="1"/>
    </xf>
    <xf numFmtId="3" fontId="6" fillId="0" borderId="1" xfId="20" applyNumberFormat="1" applyFont="1" applyBorder="1" applyAlignment="1">
      <alignment horizontal="left" vertical="center" wrapText="1"/>
      <protection/>
    </xf>
    <xf numFmtId="0" fontId="6" fillId="5" borderId="1" xfId="20" applyFont="1" applyFill="1" applyBorder="1" applyAlignment="1">
      <alignment horizontal="left" vertical="center" wrapText="1"/>
      <protection/>
    </xf>
    <xf numFmtId="3" fontId="2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5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 applyProtection="1">
      <alignment horizontal="center" vertical="center"/>
      <protection locked="0"/>
    </xf>
    <xf numFmtId="0" fontId="5" fillId="6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5" fillId="2" borderId="1" xfId="0" applyFont="1" applyFill="1" applyBorder="1" applyAlignment="1">
      <alignment vertical="center" wrapText="1"/>
    </xf>
    <xf numFmtId="3" fontId="3" fillId="2" borderId="3" xfId="0" applyNumberFormat="1" applyFont="1" applyFill="1" applyBorder="1" applyAlignment="1" applyProtection="1">
      <alignment horizontal="center" vertical="center" wrapText="1"/>
      <protection locked="0"/>
    </xf>
    <xf numFmtId="3" fontId="3" fillId="2" borderId="2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1" xfId="20" applyFont="1" applyFill="1" applyBorder="1" applyAlignment="1">
      <alignment horizontal="center" vertical="center" wrapText="1"/>
      <protection/>
    </xf>
    <xf numFmtId="0" fontId="4" fillId="7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vertical="center"/>
    </xf>
  </cellXfs>
  <cellStyles count="7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Normal_Ky I HiSC" xfId="2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9D3D7-F26C-455E-82A9-97AD224F7370}">
  <dimension ref="A1:AI165"/>
  <sheetViews>
    <sheetView tabSelected="1" workbookViewId="0" topLeftCell="V1">
      <selection pane="topLeft" activeCell="AA11" sqref="AA11"/>
    </sheetView>
  </sheetViews>
  <sheetFormatPr defaultColWidth="9" defaultRowHeight="14.25"/>
  <cols>
    <col min="1" max="1" width="5" customWidth="1"/>
    <col min="2" max="2" width="26.75" customWidth="1"/>
    <col min="3" max="4" width="8.75" hidden="1" customWidth="1"/>
    <col min="5" max="5" width="27.625" customWidth="1"/>
    <col min="6" max="6" width="14.25" customWidth="1"/>
    <col min="7" max="7" width="15.5" customWidth="1"/>
    <col min="8" max="8" width="30.25" customWidth="1"/>
    <col min="9" max="9" width="20.75" customWidth="1"/>
    <col min="10" max="10" width="17.375" customWidth="1"/>
    <col min="11" max="20" width="15.625" customWidth="1"/>
    <col min="22" max="35" width="15.625" customWidth="1"/>
  </cols>
  <sheetData>
    <row r="1" spans="1:35" ht="14.25">
      <c r="A1" s="28" t="s">
        <v>0</v>
      </c>
      <c r="B1" s="30" t="s">
        <v>36</v>
      </c>
      <c r="C1" s="30" t="s">
        <v>1</v>
      </c>
      <c r="D1" s="30" t="s">
        <v>35</v>
      </c>
      <c r="E1" s="30" t="s">
        <v>2</v>
      </c>
      <c r="F1" s="30" t="s">
        <v>3</v>
      </c>
      <c r="G1" s="30" t="s">
        <v>4</v>
      </c>
      <c r="H1" s="30" t="s">
        <v>5</v>
      </c>
      <c r="I1" s="28" t="s">
        <v>6</v>
      </c>
      <c r="J1" s="33" t="s">
        <v>7</v>
      </c>
      <c r="K1" s="35" t="s">
        <v>8</v>
      </c>
      <c r="L1" s="37" t="s">
        <v>9</v>
      </c>
      <c r="M1" s="27" t="s">
        <v>10</v>
      </c>
      <c r="N1" s="39" t="s">
        <v>11</v>
      </c>
      <c r="O1" s="40"/>
      <c r="P1" s="40"/>
      <c r="Q1" s="40"/>
      <c r="R1" s="40"/>
      <c r="S1" s="41"/>
      <c r="T1" s="42" t="s">
        <v>12</v>
      </c>
      <c r="U1" s="42" t="s">
        <v>13</v>
      </c>
      <c r="V1" s="42" t="s">
        <v>14</v>
      </c>
      <c r="W1" s="42" t="s">
        <v>15</v>
      </c>
      <c r="X1" s="42"/>
      <c r="Y1" s="42"/>
      <c r="Z1" s="42"/>
      <c r="AA1" s="42"/>
      <c r="AB1" s="42"/>
      <c r="AC1" s="43" t="s">
        <v>16</v>
      </c>
      <c r="AD1" s="39" t="s">
        <v>17</v>
      </c>
      <c r="AE1" s="42" t="s">
        <v>18</v>
      </c>
      <c r="AF1" s="38" t="s">
        <v>19</v>
      </c>
      <c r="AG1" s="38" t="s">
        <v>20</v>
      </c>
      <c r="AH1" s="38" t="s">
        <v>21</v>
      </c>
      <c r="AI1" s="38" t="s">
        <v>22</v>
      </c>
    </row>
    <row r="2" spans="1:35" ht="21">
      <c r="A2" s="29"/>
      <c r="B2" s="31"/>
      <c r="C2" s="31"/>
      <c r="D2" s="31"/>
      <c r="E2" s="31"/>
      <c r="F2" s="31"/>
      <c r="G2" s="31"/>
      <c r="H2" s="31"/>
      <c r="I2" s="32"/>
      <c r="J2" s="34"/>
      <c r="K2" s="36"/>
      <c r="L2" s="32"/>
      <c r="M2" s="27"/>
      <c r="N2" s="1" t="s">
        <v>23</v>
      </c>
      <c r="O2" s="2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32"/>
      <c r="U2" s="32"/>
      <c r="V2" s="32"/>
      <c r="W2" s="1" t="s">
        <v>29</v>
      </c>
      <c r="X2" s="1" t="s">
        <v>30</v>
      </c>
      <c r="Y2" s="1" t="s">
        <v>31</v>
      </c>
      <c r="Z2" s="1" t="s">
        <v>32</v>
      </c>
      <c r="AA2" s="3" t="s">
        <v>33</v>
      </c>
      <c r="AB2" s="1" t="s">
        <v>34</v>
      </c>
      <c r="AC2" s="44"/>
      <c r="AD2" s="45"/>
      <c r="AE2" s="32"/>
      <c r="AF2" s="38"/>
      <c r="AG2" s="38"/>
      <c r="AH2" s="38"/>
      <c r="AI2" s="38"/>
    </row>
    <row r="3" spans="1:35" ht="15">
      <c r="A3" s="4" t="s">
        <v>37</v>
      </c>
      <c r="B3" s="25" t="s">
        <v>38</v>
      </c>
      <c r="C3" s="25" t="s">
        <v>39</v>
      </c>
      <c r="D3" s="25" t="s">
        <v>40</v>
      </c>
      <c r="E3" s="25" t="s">
        <v>41</v>
      </c>
      <c r="F3" s="25"/>
      <c r="G3" s="25"/>
      <c r="H3" s="25" t="s">
        <v>42</v>
      </c>
      <c r="I3" s="21" t="s">
        <v>43</v>
      </c>
      <c r="J3" s="21" t="s">
        <v>44</v>
      </c>
      <c r="K3" s="5"/>
      <c r="L3" s="6"/>
      <c r="M3" s="5">
        <f>K3-L3</f>
        <v>0</v>
      </c>
      <c r="N3" s="7"/>
      <c r="O3" s="5">
        <v>730000</v>
      </c>
      <c r="P3" s="8"/>
      <c r="Q3" s="7">
        <v>50000</v>
      </c>
      <c r="R3" s="7">
        <v>400000</v>
      </c>
      <c r="S3" s="7"/>
      <c r="T3" s="9">
        <v>11000000</v>
      </c>
      <c r="U3" s="9"/>
      <c r="V3" s="9">
        <f>4400000*U3</f>
        <v>0</v>
      </c>
      <c r="W3" s="10">
        <f>AI3*8%</f>
        <v>384000</v>
      </c>
      <c r="X3" s="10">
        <f>AI3*1.5%</f>
        <v>72000</v>
      </c>
      <c r="Y3" s="10">
        <f>AI3*1%</f>
        <v>48000</v>
      </c>
      <c r="Z3" s="10">
        <f>AI3*1%</f>
        <v>48000</v>
      </c>
      <c r="AA3" s="11">
        <f>SUM(L3:N3)+S3-T3-SUM(V3:Y3)</f>
        <v>-11504000</v>
      </c>
      <c r="AB3" s="5">
        <f>ROUND(IF(AA3&gt;0,IF(AA3&gt;80000000,(AA3-80000000)*35%+18150000,IF(AA3&gt;52000000,(AA3-52000000)*30%+9750000,IF(AA3&gt;32000000,(AA3-32000000)*25%+4750000,IF(AA3&gt;18000000,(AA3-18000000)*20%+1950000,IF(AA3&gt;10000000,(AA3-10000000)*15%+750000,IF(AA3&gt;5000000,(AA3-5000000)*10%+250000,AA3*5%)))))),0),0)</f>
        <v>0</v>
      </c>
      <c r="AC3" s="5"/>
      <c r="AD3" s="12">
        <f>ROUND(SUM(L3:S3)-SUM(W3:Z3)-AB3+AC3,0)</f>
        <v>628000</v>
      </c>
      <c r="AE3" s="13"/>
      <c r="AF3" s="12">
        <f>SUM(L3:S3)</f>
        <v>1180000</v>
      </c>
      <c r="AG3" s="12">
        <f>SUM(L3+N3)*23.5%</f>
        <v>0</v>
      </c>
      <c r="AH3" s="12">
        <f>SUM(AF3:AG3)</f>
        <v>1180000</v>
      </c>
      <c r="AI3" s="12">
        <f>IF(L3+N3&lt;4800000,4800000,MIN(29800000,L3+N3))</f>
        <v>4800000</v>
      </c>
    </row>
    <row r="4" spans="1:35" ht="15">
      <c r="A4" s="4" t="s">
        <v>45</v>
      </c>
      <c r="B4" s="25" t="s">
        <v>46</v>
      </c>
      <c r="C4" s="25" t="s">
        <v>39</v>
      </c>
      <c r="D4" s="25" t="s">
        <v>47</v>
      </c>
      <c r="E4" s="25" t="s">
        <v>41</v>
      </c>
      <c r="F4" s="25"/>
      <c r="G4" s="25"/>
      <c r="H4" s="25" t="s">
        <v>48</v>
      </c>
      <c r="I4" s="21" t="s">
        <v>49</v>
      </c>
      <c r="J4" s="21" t="s">
        <v>50</v>
      </c>
      <c r="K4" s="5"/>
      <c r="L4" s="6"/>
      <c r="M4" s="5">
        <f>K4-L4</f>
        <v>0</v>
      </c>
      <c r="N4" s="7"/>
      <c r="O4" s="5">
        <v>730000</v>
      </c>
      <c r="P4" s="8"/>
      <c r="Q4" s="7">
        <v>50000</v>
      </c>
      <c r="R4" s="7">
        <v>400000</v>
      </c>
      <c r="S4" s="7"/>
      <c r="T4" s="9">
        <v>11000000</v>
      </c>
      <c r="U4" s="9"/>
      <c r="V4" s="9">
        <f>4400000*U4</f>
        <v>0</v>
      </c>
      <c r="W4" s="10">
        <f>AI4*8%</f>
        <v>384000</v>
      </c>
      <c r="X4" s="10">
        <f>AI4*1.5%</f>
        <v>72000</v>
      </c>
      <c r="Y4" s="10">
        <f>AI4*1%</f>
        <v>48000</v>
      </c>
      <c r="Z4" s="10">
        <f>AI4*1%</f>
        <v>48000</v>
      </c>
      <c r="AA4" s="11">
        <f>SUM(L4:N4)+S4-T4-SUM(V4:Y4)</f>
        <v>-11504000</v>
      </c>
      <c r="AB4" s="5">
        <f>ROUND(IF(AA4&gt;0,IF(AA4&gt;80000000,(AA4-80000000)*35%+18150000,IF(AA4&gt;52000000,(AA4-52000000)*30%+9750000,IF(AA4&gt;32000000,(AA4-32000000)*25%+4750000,IF(AA4&gt;18000000,(AA4-18000000)*20%+1950000,IF(AA4&gt;10000000,(AA4-10000000)*15%+750000,IF(AA4&gt;5000000,(AA4-5000000)*10%+250000,AA4*5%)))))),0),0)</f>
        <v>0</v>
      </c>
      <c r="AC4" s="5"/>
      <c r="AD4" s="12">
        <f>ROUND(SUM(L4:S4)-SUM(W4:Z4)-AB4+AC4,0)</f>
        <v>628000</v>
      </c>
      <c r="AE4" s="13"/>
      <c r="AF4" s="12">
        <f>SUM(L4:S4)</f>
        <v>1180000</v>
      </c>
      <c r="AG4" s="12">
        <f>SUM(L4+N4)*23.5%</f>
        <v>0</v>
      </c>
      <c r="AH4" s="12">
        <f>SUM(AF4:AG4)</f>
        <v>1180000</v>
      </c>
      <c r="AI4" s="12">
        <f>IF(L4+N4&lt;4800000,4800000,MIN(29800000,L4+N4))</f>
        <v>4800000</v>
      </c>
    </row>
    <row r="5" spans="1:35" ht="15">
      <c r="A5" s="4" t="s">
        <v>51</v>
      </c>
      <c r="B5" s="25" t="s">
        <v>52</v>
      </c>
      <c r="C5" s="25" t="s">
        <v>39</v>
      </c>
      <c r="D5" s="25" t="s">
        <v>53</v>
      </c>
      <c r="E5" s="25" t="s">
        <v>41</v>
      </c>
      <c r="F5" s="25"/>
      <c r="G5" s="25"/>
      <c r="H5" s="25" t="s">
        <v>48</v>
      </c>
      <c r="I5" s="21" t="s">
        <v>54</v>
      </c>
      <c r="J5" s="21" t="s">
        <v>55</v>
      </c>
      <c r="K5" s="5"/>
      <c r="L5" s="6"/>
      <c r="M5" s="5">
        <f>K5-L5</f>
        <v>0</v>
      </c>
      <c r="N5" s="7"/>
      <c r="O5" s="5">
        <v>730000</v>
      </c>
      <c r="P5" s="8"/>
      <c r="Q5" s="7">
        <v>50000</v>
      </c>
      <c r="R5" s="7">
        <v>400000</v>
      </c>
      <c r="S5" s="7"/>
      <c r="T5" s="9">
        <v>11000000</v>
      </c>
      <c r="U5" s="9"/>
      <c r="V5" s="9">
        <f>4400000*U5</f>
        <v>0</v>
      </c>
      <c r="W5" s="10">
        <f>AI5*8%</f>
        <v>384000</v>
      </c>
      <c r="X5" s="10">
        <f>AI5*1.5%</f>
        <v>72000</v>
      </c>
      <c r="Y5" s="10">
        <f>AI5*1%</f>
        <v>48000</v>
      </c>
      <c r="Z5" s="10">
        <f>AI5*1%</f>
        <v>48000</v>
      </c>
      <c r="AA5" s="11">
        <f>SUM(L5:N5)+S5-T5-SUM(V5:Y5)</f>
        <v>-11504000</v>
      </c>
      <c r="AB5" s="5">
        <f>ROUND(IF(AA5&gt;0,IF(AA5&gt;80000000,(AA5-80000000)*35%+18150000,IF(AA5&gt;52000000,(AA5-52000000)*30%+9750000,IF(AA5&gt;32000000,(AA5-32000000)*25%+4750000,IF(AA5&gt;18000000,(AA5-18000000)*20%+1950000,IF(AA5&gt;10000000,(AA5-10000000)*15%+750000,IF(AA5&gt;5000000,(AA5-5000000)*10%+250000,AA5*5%)))))),0),0)</f>
        <v>0</v>
      </c>
      <c r="AC5" s="5"/>
      <c r="AD5" s="12">
        <f>ROUND(SUM(L5:S5)-SUM(W5:Z5)-AB5+AC5,0)</f>
        <v>628000</v>
      </c>
      <c r="AE5" s="13"/>
      <c r="AF5" s="12">
        <f>SUM(L5:S5)</f>
        <v>1180000</v>
      </c>
      <c r="AG5" s="12">
        <f>SUM(L5+N5)*23.5%</f>
        <v>0</v>
      </c>
      <c r="AH5" s="12">
        <f>SUM(AF5:AG5)</f>
        <v>1180000</v>
      </c>
      <c r="AI5" s="12">
        <f>IF(L5+N5&lt;4800000,4800000,MIN(29800000,L5+N5))</f>
        <v>4800000</v>
      </c>
    </row>
    <row r="6" spans="1:35" ht="15">
      <c r="A6" s="4" t="s">
        <v>56</v>
      </c>
      <c r="B6" s="25" t="s">
        <v>57</v>
      </c>
      <c r="C6" s="25" t="s">
        <v>39</v>
      </c>
      <c r="D6" s="25" t="s">
        <v>58</v>
      </c>
      <c r="E6" s="25" t="s">
        <v>41</v>
      </c>
      <c r="F6" s="25"/>
      <c r="G6" s="25"/>
      <c r="H6" s="25" t="s">
        <v>48</v>
      </c>
      <c r="I6" s="21" t="s">
        <v>59</v>
      </c>
      <c r="J6" s="21" t="s">
        <v>60</v>
      </c>
      <c r="K6" s="5"/>
      <c r="L6" s="6"/>
      <c r="M6" s="5">
        <f>K6-L6</f>
        <v>0</v>
      </c>
      <c r="N6" s="7"/>
      <c r="O6" s="5">
        <v>730000</v>
      </c>
      <c r="P6" s="8"/>
      <c r="Q6" s="7">
        <v>50000</v>
      </c>
      <c r="R6" s="7">
        <v>400000</v>
      </c>
      <c r="S6" s="7"/>
      <c r="T6" s="9">
        <v>11000000</v>
      </c>
      <c r="U6" s="9"/>
      <c r="V6" s="9">
        <f>4400000*U6</f>
        <v>0</v>
      </c>
      <c r="W6" s="10">
        <f>AI6*8%</f>
        <v>384000</v>
      </c>
      <c r="X6" s="10">
        <f>AI6*1.5%</f>
        <v>72000</v>
      </c>
      <c r="Y6" s="10">
        <f>AI6*1%</f>
        <v>48000</v>
      </c>
      <c r="Z6" s="10">
        <f>AI6*1%</f>
        <v>48000</v>
      </c>
      <c r="AA6" s="11">
        <f>SUM(L6:N6)+S6-T6-SUM(V6:Y6)</f>
        <v>-11504000</v>
      </c>
      <c r="AB6" s="5">
        <f>ROUND(IF(AA6&gt;0,IF(AA6&gt;80000000,(AA6-80000000)*35%+18150000,IF(AA6&gt;52000000,(AA6-52000000)*30%+9750000,IF(AA6&gt;32000000,(AA6-32000000)*25%+4750000,IF(AA6&gt;18000000,(AA6-18000000)*20%+1950000,IF(AA6&gt;10000000,(AA6-10000000)*15%+750000,IF(AA6&gt;5000000,(AA6-5000000)*10%+250000,AA6*5%)))))),0),0)</f>
        <v>0</v>
      </c>
      <c r="AC6" s="5"/>
      <c r="AD6" s="12">
        <f>ROUND(SUM(L6:S6)-SUM(W6:Z6)-AB6+AC6,0)</f>
        <v>628000</v>
      </c>
      <c r="AE6" s="13"/>
      <c r="AF6" s="12">
        <f>SUM(L6:S6)</f>
        <v>1180000</v>
      </c>
      <c r="AG6" s="12">
        <f>SUM(L6+N6)*23.5%</f>
        <v>0</v>
      </c>
      <c r="AH6" s="12">
        <f>SUM(AF6:AG6)</f>
        <v>1180000</v>
      </c>
      <c r="AI6" s="12">
        <f>IF(L6+N6&lt;4800000,4800000,MIN(29800000,L6+N6))</f>
        <v>4800000</v>
      </c>
    </row>
    <row r="7" spans="1:35" ht="15">
      <c r="A7" s="4" t="s">
        <v>61</v>
      </c>
      <c r="B7" s="25" t="s">
        <v>62</v>
      </c>
      <c r="C7" s="25" t="s">
        <v>39</v>
      </c>
      <c r="D7" s="25" t="s">
        <v>63</v>
      </c>
      <c r="E7" s="25" t="s">
        <v>41</v>
      </c>
      <c r="F7" s="25"/>
      <c r="G7" s="25"/>
      <c r="H7" s="25" t="s">
        <v>48</v>
      </c>
      <c r="I7" s="21" t="s">
        <v>64</v>
      </c>
      <c r="J7" s="21" t="s">
        <v>60</v>
      </c>
      <c r="K7" s="5"/>
      <c r="L7" s="6"/>
      <c r="M7" s="5">
        <f>K7-L7</f>
        <v>0</v>
      </c>
      <c r="N7" s="7"/>
      <c r="O7" s="5">
        <v>730000</v>
      </c>
      <c r="P7" s="8"/>
      <c r="Q7" s="7">
        <v>50000</v>
      </c>
      <c r="R7" s="7">
        <v>400000</v>
      </c>
      <c r="S7" s="7"/>
      <c r="T7" s="9">
        <v>11000000</v>
      </c>
      <c r="U7" s="9"/>
      <c r="V7" s="9">
        <f>4400000*U7</f>
        <v>0</v>
      </c>
      <c r="W7" s="10">
        <f>AI7*8%</f>
        <v>384000</v>
      </c>
      <c r="X7" s="10">
        <f>AI7*1.5%</f>
        <v>72000</v>
      </c>
      <c r="Y7" s="10">
        <f>AI7*1%</f>
        <v>48000</v>
      </c>
      <c r="Z7" s="10">
        <f>AI7*1%</f>
        <v>48000</v>
      </c>
      <c r="AA7" s="11">
        <f>SUM(L7:N7)+S7-T7-SUM(V7:Y7)</f>
        <v>-11504000</v>
      </c>
      <c r="AB7" s="5">
        <f>ROUND(IF(AA7&gt;0,IF(AA7&gt;80000000,(AA7-80000000)*35%+18150000,IF(AA7&gt;52000000,(AA7-52000000)*30%+9750000,IF(AA7&gt;32000000,(AA7-32000000)*25%+4750000,IF(AA7&gt;18000000,(AA7-18000000)*20%+1950000,IF(AA7&gt;10000000,(AA7-10000000)*15%+750000,IF(AA7&gt;5000000,(AA7-5000000)*10%+250000,AA7*5%)))))),0),0)</f>
        <v>0</v>
      </c>
      <c r="AC7" s="5"/>
      <c r="AD7" s="12">
        <f>ROUND(SUM(L7:S7)-SUM(W7:Z7)-AB7+AC7,0)</f>
        <v>628000</v>
      </c>
      <c r="AE7" s="13"/>
      <c r="AF7" s="12">
        <f>SUM(L7:S7)</f>
        <v>1180000</v>
      </c>
      <c r="AG7" s="12">
        <f>SUM(L7+N7)*23.5%</f>
        <v>0</v>
      </c>
      <c r="AH7" s="12">
        <f>SUM(AF7:AG7)</f>
        <v>1180000</v>
      </c>
      <c r="AI7" s="12">
        <f>IF(L7+N7&lt;4800000,4800000,MIN(29800000,L7+N7))</f>
        <v>4800000</v>
      </c>
    </row>
    <row r="8" spans="1:35" ht="15">
      <c r="A8" s="4" t="s">
        <v>65</v>
      </c>
      <c r="B8" s="25" t="s">
        <v>66</v>
      </c>
      <c r="C8" s="25" t="s">
        <v>39</v>
      </c>
      <c r="D8" s="25" t="s">
        <v>67</v>
      </c>
      <c r="E8" s="25" t="s">
        <v>41</v>
      </c>
      <c r="F8" s="25"/>
      <c r="G8" s="25"/>
      <c r="H8" s="25" t="s">
        <v>48</v>
      </c>
      <c r="I8" s="21" t="s">
        <v>68</v>
      </c>
      <c r="J8" s="21" t="s">
        <v>60</v>
      </c>
      <c r="K8" s="5"/>
      <c r="L8" s="6"/>
      <c r="M8" s="5">
        <f>K8-L8</f>
        <v>0</v>
      </c>
      <c r="N8" s="7"/>
      <c r="O8" s="5">
        <v>730000</v>
      </c>
      <c r="P8" s="8"/>
      <c r="Q8" s="7">
        <v>50000</v>
      </c>
      <c r="R8" s="7">
        <v>400000</v>
      </c>
      <c r="S8" s="7"/>
      <c r="T8" s="9">
        <v>11000000</v>
      </c>
      <c r="U8" s="9"/>
      <c r="V8" s="9">
        <f>4400000*U8</f>
        <v>0</v>
      </c>
      <c r="W8" s="10">
        <f>AI8*8%</f>
        <v>384000</v>
      </c>
      <c r="X8" s="10">
        <f>AI8*1.5%</f>
        <v>72000</v>
      </c>
      <c r="Y8" s="10">
        <f>AI8*1%</f>
        <v>48000</v>
      </c>
      <c r="Z8" s="10">
        <f>AI8*1%</f>
        <v>48000</v>
      </c>
      <c r="AA8" s="11">
        <f>SUM(L8:N8)+S8-T8-SUM(V8:Y8)</f>
        <v>-11504000</v>
      </c>
      <c r="AB8" s="5">
        <f>ROUND(IF(AA8&gt;0,IF(AA8&gt;80000000,(AA8-80000000)*35%+18150000,IF(AA8&gt;52000000,(AA8-52000000)*30%+9750000,IF(AA8&gt;32000000,(AA8-32000000)*25%+4750000,IF(AA8&gt;18000000,(AA8-18000000)*20%+1950000,IF(AA8&gt;10000000,(AA8-10000000)*15%+750000,IF(AA8&gt;5000000,(AA8-5000000)*10%+250000,AA8*5%)))))),0),0)</f>
        <v>0</v>
      </c>
      <c r="AC8" s="5"/>
      <c r="AD8" s="12">
        <f>ROUND(SUM(L8:S8)-SUM(W8:Z8)-AB8+AC8,0)</f>
        <v>628000</v>
      </c>
      <c r="AE8" s="13"/>
      <c r="AF8" s="12">
        <f>SUM(L8:S8)</f>
        <v>1180000</v>
      </c>
      <c r="AG8" s="12">
        <f>SUM(L8+N8)*23.5%</f>
        <v>0</v>
      </c>
      <c r="AH8" s="12">
        <f>SUM(AF8:AG8)</f>
        <v>1180000</v>
      </c>
      <c r="AI8" s="12">
        <f>IF(L8+N8&lt;4800000,4800000,MIN(29800000,L8+N8))</f>
        <v>4800000</v>
      </c>
    </row>
    <row r="9" spans="1:35" ht="15">
      <c r="A9" s="4" t="s">
        <v>69</v>
      </c>
      <c r="B9" s="25" t="s">
        <v>70</v>
      </c>
      <c r="C9" s="25" t="s">
        <v>39</v>
      </c>
      <c r="D9" s="25" t="s">
        <v>71</v>
      </c>
      <c r="E9" s="25" t="s">
        <v>41</v>
      </c>
      <c r="F9" s="25"/>
      <c r="G9" s="25"/>
      <c r="H9" s="25" t="s">
        <v>48</v>
      </c>
      <c r="I9" s="21" t="s">
        <v>72</v>
      </c>
      <c r="J9" s="21" t="s">
        <v>60</v>
      </c>
      <c r="K9" s="5"/>
      <c r="L9" s="6"/>
      <c r="M9" s="5">
        <f>K9-L9</f>
        <v>0</v>
      </c>
      <c r="N9" s="7"/>
      <c r="O9" s="5">
        <v>730000</v>
      </c>
      <c r="P9" s="8"/>
      <c r="Q9" s="7">
        <v>50000</v>
      </c>
      <c r="R9" s="7">
        <v>400000</v>
      </c>
      <c r="S9" s="7"/>
      <c r="T9" s="9">
        <v>11000000</v>
      </c>
      <c r="U9" s="9"/>
      <c r="V9" s="9">
        <f>4400000*U9</f>
        <v>0</v>
      </c>
      <c r="W9" s="10">
        <f>AI9*8%</f>
        <v>384000</v>
      </c>
      <c r="X9" s="10">
        <f>AI9*1.5%</f>
        <v>72000</v>
      </c>
      <c r="Y9" s="10">
        <f>AI9*1%</f>
        <v>48000</v>
      </c>
      <c r="Z9" s="10">
        <f>AI9*1%</f>
        <v>48000</v>
      </c>
      <c r="AA9" s="11">
        <f>SUM(L9:N9)+S9-T9-SUM(V9:Y9)</f>
        <v>-11504000</v>
      </c>
      <c r="AB9" s="5">
        <f>ROUND(IF(AA9&gt;0,IF(AA9&gt;80000000,(AA9-80000000)*35%+18150000,IF(AA9&gt;52000000,(AA9-52000000)*30%+9750000,IF(AA9&gt;32000000,(AA9-32000000)*25%+4750000,IF(AA9&gt;18000000,(AA9-18000000)*20%+1950000,IF(AA9&gt;10000000,(AA9-10000000)*15%+750000,IF(AA9&gt;5000000,(AA9-5000000)*10%+250000,AA9*5%)))))),0),0)</f>
        <v>0</v>
      </c>
      <c r="AC9" s="5"/>
      <c r="AD9" s="12">
        <f>ROUND(SUM(L9:S9)-SUM(W9:Z9)-AB9+AC9,0)</f>
        <v>628000</v>
      </c>
      <c r="AE9" s="13"/>
      <c r="AF9" s="12">
        <f>SUM(L9:S9)</f>
        <v>1180000</v>
      </c>
      <c r="AG9" s="12">
        <f>SUM(L9+N9)*23.5%</f>
        <v>0</v>
      </c>
      <c r="AH9" s="12">
        <f>SUM(AF9:AG9)</f>
        <v>1180000</v>
      </c>
      <c r="AI9" s="12">
        <f>IF(L9+N9&lt;4800000,4800000,MIN(29800000,L9+N9))</f>
        <v>4800000</v>
      </c>
    </row>
    <row r="10" spans="1:35" ht="15">
      <c r="A10" s="4" t="s">
        <v>73</v>
      </c>
      <c r="B10" s="25" t="s">
        <v>74</v>
      </c>
      <c r="C10" s="25" t="s">
        <v>39</v>
      </c>
      <c r="D10" s="25" t="s">
        <v>75</v>
      </c>
      <c r="E10" s="25" t="s">
        <v>41</v>
      </c>
      <c r="F10" s="25"/>
      <c r="G10" s="25"/>
      <c r="H10" s="25" t="s">
        <v>48</v>
      </c>
      <c r="I10" s="21" t="s">
        <v>76</v>
      </c>
      <c r="J10" s="21" t="s">
        <v>77</v>
      </c>
      <c r="K10" s="5"/>
      <c r="L10" s="6"/>
      <c r="M10" s="5">
        <f>K10-L10</f>
        <v>0</v>
      </c>
      <c r="N10" s="7"/>
      <c r="O10" s="5">
        <v>730000</v>
      </c>
      <c r="P10" s="8"/>
      <c r="Q10" s="7">
        <v>50000</v>
      </c>
      <c r="R10" s="7">
        <v>400000</v>
      </c>
      <c r="S10" s="7"/>
      <c r="T10" s="9">
        <v>11000000</v>
      </c>
      <c r="U10" s="9"/>
      <c r="V10" s="9">
        <f>4400000*U10</f>
        <v>0</v>
      </c>
      <c r="W10" s="10">
        <f>AI10*8%</f>
        <v>384000</v>
      </c>
      <c r="X10" s="10">
        <f>AI10*1.5%</f>
        <v>72000</v>
      </c>
      <c r="Y10" s="10">
        <f>AI10*1%</f>
        <v>48000</v>
      </c>
      <c r="Z10" s="10">
        <f>AI10*1%</f>
        <v>48000</v>
      </c>
      <c r="AA10" s="11">
        <f>SUM(L10:N10)+S10-T10-SUM(V10:Y10)</f>
        <v>-11504000</v>
      </c>
      <c r="AB10" s="5">
        <f>ROUND(IF(AA10&gt;0,IF(AA10&gt;80000000,(AA10-80000000)*35%+18150000,IF(AA10&gt;52000000,(AA10-52000000)*30%+9750000,IF(AA10&gt;32000000,(AA10-32000000)*25%+4750000,IF(AA10&gt;18000000,(AA10-18000000)*20%+1950000,IF(AA10&gt;10000000,(AA10-10000000)*15%+750000,IF(AA10&gt;5000000,(AA10-5000000)*10%+250000,AA10*5%)))))),0),0)</f>
        <v>0</v>
      </c>
      <c r="AC10" s="5"/>
      <c r="AD10" s="12">
        <f>ROUND(SUM(L10:S10)-SUM(W10:Z10)-AB10+AC10,0)</f>
        <v>628000</v>
      </c>
      <c r="AE10" s="13"/>
      <c r="AF10" s="12">
        <f>SUM(L10:S10)</f>
        <v>1180000</v>
      </c>
      <c r="AG10" s="12">
        <f>SUM(L10+N10)*23.5%</f>
        <v>0</v>
      </c>
      <c r="AH10" s="12">
        <f>SUM(AF10:AG10)</f>
        <v>1180000</v>
      </c>
      <c r="AI10" s="12">
        <f>IF(L10+N10&lt;4800000,4800000,MIN(29800000,L10+N10))</f>
        <v>4800000</v>
      </c>
    </row>
    <row r="11" spans="1:35" ht="15">
      <c r="A11" s="4" t="s">
        <v>78</v>
      </c>
      <c r="B11" s="25" t="s">
        <v>79</v>
      </c>
      <c r="C11" s="25" t="s">
        <v>39</v>
      </c>
      <c r="D11" s="25" t="s">
        <v>80</v>
      </c>
      <c r="E11" s="25" t="s">
        <v>41</v>
      </c>
      <c r="F11" s="25"/>
      <c r="G11" s="25"/>
      <c r="H11" s="25" t="s">
        <v>48</v>
      </c>
      <c r="I11" s="21" t="s">
        <v>81</v>
      </c>
      <c r="J11" s="21" t="s">
        <v>82</v>
      </c>
      <c r="K11" s="5"/>
      <c r="L11" s="6"/>
      <c r="M11" s="5">
        <f>K11-L11</f>
        <v>0</v>
      </c>
      <c r="N11" s="7"/>
      <c r="O11" s="5">
        <v>730000</v>
      </c>
      <c r="P11" s="8"/>
      <c r="Q11" s="7">
        <v>50000</v>
      </c>
      <c r="R11" s="7">
        <v>400000</v>
      </c>
      <c r="S11" s="7"/>
      <c r="T11" s="9">
        <v>11000000</v>
      </c>
      <c r="U11" s="9"/>
      <c r="V11" s="9">
        <f>4400000*U11</f>
        <v>0</v>
      </c>
      <c r="W11" s="10">
        <f>AI11*8%</f>
        <v>384000</v>
      </c>
      <c r="X11" s="10">
        <f>AI11*1.5%</f>
        <v>72000</v>
      </c>
      <c r="Y11" s="10">
        <f>AI11*1%</f>
        <v>48000</v>
      </c>
      <c r="Z11" s="10">
        <f>AI11*1%</f>
        <v>48000</v>
      </c>
      <c r="AA11" s="11">
        <f>SUM(L11:N11)+S11-T11-SUM(V11:Y11)</f>
        <v>-11504000</v>
      </c>
      <c r="AB11" s="5">
        <f>ROUND(IF(AA11&gt;0,IF(AA11&gt;80000000,(AA11-80000000)*35%+18150000,IF(AA11&gt;52000000,(AA11-52000000)*30%+9750000,IF(AA11&gt;32000000,(AA11-32000000)*25%+4750000,IF(AA11&gt;18000000,(AA11-18000000)*20%+1950000,IF(AA11&gt;10000000,(AA11-10000000)*15%+750000,IF(AA11&gt;5000000,(AA11-5000000)*10%+250000,AA11*5%)))))),0),0)</f>
        <v>0</v>
      </c>
      <c r="AC11" s="5"/>
      <c r="AD11" s="12">
        <f>ROUND(SUM(L11:S11)-SUM(W11:Z11)-AB11+AC11,0)</f>
        <v>628000</v>
      </c>
      <c r="AE11" s="13"/>
      <c r="AF11" s="12">
        <f>SUM(L11:S11)</f>
        <v>1180000</v>
      </c>
      <c r="AG11" s="12">
        <f>SUM(L11+N11)*23.5%</f>
        <v>0</v>
      </c>
      <c r="AH11" s="12">
        <f>SUM(AF11:AG11)</f>
        <v>1180000</v>
      </c>
      <c r="AI11" s="12">
        <f>IF(L11+N11&lt;4800000,4800000,MIN(29800000,L11+N11))</f>
        <v>4800000</v>
      </c>
    </row>
    <row r="12" spans="1:35" ht="15">
      <c r="A12" s="4" t="s">
        <v>83</v>
      </c>
      <c r="B12" s="25" t="s">
        <v>84</v>
      </c>
      <c r="C12" s="25" t="s">
        <v>39</v>
      </c>
      <c r="D12" s="25" t="s">
        <v>85</v>
      </c>
      <c r="E12" s="25" t="s">
        <v>41</v>
      </c>
      <c r="F12" s="25"/>
      <c r="G12" s="25"/>
      <c r="H12" s="25" t="s">
        <v>86</v>
      </c>
      <c r="I12" s="21" t="s">
        <v>87</v>
      </c>
      <c r="J12" s="21" t="s">
        <v>87</v>
      </c>
      <c r="K12" s="5"/>
      <c r="L12" s="6"/>
      <c r="M12" s="5">
        <f>K12-L12</f>
        <v>0</v>
      </c>
      <c r="N12" s="7"/>
      <c r="O12" s="5">
        <v>730000</v>
      </c>
      <c r="P12" s="8"/>
      <c r="Q12" s="7">
        <v>50000</v>
      </c>
      <c r="R12" s="7">
        <v>400000</v>
      </c>
      <c r="S12" s="7"/>
      <c r="T12" s="9">
        <v>11000000</v>
      </c>
      <c r="U12" s="9"/>
      <c r="V12" s="9">
        <f>4400000*U12</f>
        <v>0</v>
      </c>
      <c r="W12" s="10">
        <f>AI12*8%</f>
        <v>384000</v>
      </c>
      <c r="X12" s="10">
        <f>AI12*1.5%</f>
        <v>72000</v>
      </c>
      <c r="Y12" s="10">
        <f>AI12*1%</f>
        <v>48000</v>
      </c>
      <c r="Z12" s="10">
        <f>AI12*1%</f>
        <v>48000</v>
      </c>
      <c r="AA12" s="11">
        <f>SUM(L12:N12)+S12-T12-SUM(V12:Y12)</f>
        <v>-11504000</v>
      </c>
      <c r="AB12" s="5">
        <f>ROUND(IF(AA12&gt;0,IF(AA12&gt;80000000,(AA12-80000000)*35%+18150000,IF(AA12&gt;52000000,(AA12-52000000)*30%+9750000,IF(AA12&gt;32000000,(AA12-32000000)*25%+4750000,IF(AA12&gt;18000000,(AA12-18000000)*20%+1950000,IF(AA12&gt;10000000,(AA12-10000000)*15%+750000,IF(AA12&gt;5000000,(AA12-5000000)*10%+250000,AA12*5%)))))),0),0)</f>
        <v>0</v>
      </c>
      <c r="AC12" s="5"/>
      <c r="AD12" s="12">
        <f>ROUND(SUM(L12:S12)-SUM(W12:Z12)-AB12+AC12,0)</f>
        <v>628000</v>
      </c>
      <c r="AE12" s="13"/>
      <c r="AF12" s="12">
        <f>SUM(L12:S12)</f>
        <v>1180000</v>
      </c>
      <c r="AG12" s="12">
        <f>SUM(L12+N12)*23.5%</f>
        <v>0</v>
      </c>
      <c r="AH12" s="12">
        <f>SUM(AF12:AG12)</f>
        <v>1180000</v>
      </c>
      <c r="AI12" s="12">
        <f>IF(L12+N12&lt;4800000,4800000,MIN(29800000,L12+N12))</f>
        <v>4800000</v>
      </c>
    </row>
    <row r="13" spans="1:35" ht="15">
      <c r="A13" s="4" t="s">
        <v>88</v>
      </c>
      <c r="B13" s="25" t="s">
        <v>89</v>
      </c>
      <c r="C13" s="25" t="s">
        <v>39</v>
      </c>
      <c r="D13" s="25" t="s">
        <v>90</v>
      </c>
      <c r="E13" s="25" t="s">
        <v>41</v>
      </c>
      <c r="F13" s="25"/>
      <c r="G13" s="25"/>
      <c r="H13" s="25" t="s">
        <v>86</v>
      </c>
      <c r="I13" s="21" t="s">
        <v>91</v>
      </c>
      <c r="J13" s="21" t="s">
        <v>92</v>
      </c>
      <c r="K13" s="5"/>
      <c r="L13" s="6"/>
      <c r="M13" s="5">
        <f>K13-L13</f>
        <v>0</v>
      </c>
      <c r="N13" s="7"/>
      <c r="O13" s="5">
        <v>730000</v>
      </c>
      <c r="P13" s="8"/>
      <c r="Q13" s="7">
        <v>50000</v>
      </c>
      <c r="R13" s="7">
        <v>400000</v>
      </c>
      <c r="S13" s="7"/>
      <c r="T13" s="9">
        <v>11000000</v>
      </c>
      <c r="U13" s="9"/>
      <c r="V13" s="9">
        <f>4400000*U13</f>
        <v>0</v>
      </c>
      <c r="W13" s="10">
        <f>AI13*8%</f>
        <v>384000</v>
      </c>
      <c r="X13" s="10">
        <f>AI13*1.5%</f>
        <v>72000</v>
      </c>
      <c r="Y13" s="10">
        <f>AI13*1%</f>
        <v>48000</v>
      </c>
      <c r="Z13" s="10">
        <f>AI13*1%</f>
        <v>48000</v>
      </c>
      <c r="AA13" s="11">
        <f>SUM(L13:N13)+S13-T13-SUM(V13:Y13)</f>
        <v>-11504000</v>
      </c>
      <c r="AB13" s="5">
        <f>ROUND(IF(AA13&gt;0,IF(AA13&gt;80000000,(AA13-80000000)*35%+18150000,IF(AA13&gt;52000000,(AA13-52000000)*30%+9750000,IF(AA13&gt;32000000,(AA13-32000000)*25%+4750000,IF(AA13&gt;18000000,(AA13-18000000)*20%+1950000,IF(AA13&gt;10000000,(AA13-10000000)*15%+750000,IF(AA13&gt;5000000,(AA13-5000000)*10%+250000,AA13*5%)))))),0),0)</f>
        <v>0</v>
      </c>
      <c r="AC13" s="5"/>
      <c r="AD13" s="12">
        <f>ROUND(SUM(L13:S13)-SUM(W13:Z13)-AB13+AC13,0)</f>
        <v>628000</v>
      </c>
      <c r="AE13" s="13"/>
      <c r="AF13" s="12">
        <f>SUM(L13:S13)</f>
        <v>1180000</v>
      </c>
      <c r="AG13" s="12">
        <f>SUM(L13+N13)*23.5%</f>
        <v>0</v>
      </c>
      <c r="AH13" s="12">
        <f>SUM(AF13:AG13)</f>
        <v>1180000</v>
      </c>
      <c r="AI13" s="12">
        <f>IF(L13+N13&lt;4800000,4800000,MIN(29800000,L13+N13))</f>
        <v>4800000</v>
      </c>
    </row>
    <row r="14" spans="1:35" ht="15">
      <c r="A14" s="4" t="s">
        <v>93</v>
      </c>
      <c r="B14" s="25" t="s">
        <v>94</v>
      </c>
      <c r="C14" s="25" t="s">
        <v>39</v>
      </c>
      <c r="D14" s="25" t="s">
        <v>95</v>
      </c>
      <c r="E14" s="25" t="s">
        <v>41</v>
      </c>
      <c r="F14" s="25"/>
      <c r="G14" s="25"/>
      <c r="H14" s="25" t="s">
        <v>86</v>
      </c>
      <c r="I14" s="21" t="s">
        <v>96</v>
      </c>
      <c r="J14" s="21" t="s">
        <v>97</v>
      </c>
      <c r="K14" s="5"/>
      <c r="L14" s="6"/>
      <c r="M14" s="5">
        <f>K14-L14</f>
        <v>0</v>
      </c>
      <c r="N14" s="7"/>
      <c r="O14" s="5">
        <v>730000</v>
      </c>
      <c r="P14" s="8"/>
      <c r="Q14" s="7">
        <v>50000</v>
      </c>
      <c r="R14" s="7">
        <v>400000</v>
      </c>
      <c r="S14" s="7"/>
      <c r="T14" s="9">
        <v>11000000</v>
      </c>
      <c r="U14" s="9"/>
      <c r="V14" s="9">
        <f>4400000*U14</f>
        <v>0</v>
      </c>
      <c r="W14" s="10">
        <f>AI14*8%</f>
        <v>384000</v>
      </c>
      <c r="X14" s="10">
        <f>AI14*1.5%</f>
        <v>72000</v>
      </c>
      <c r="Y14" s="10">
        <f>AI14*1%</f>
        <v>48000</v>
      </c>
      <c r="Z14" s="10">
        <f>AI14*1%</f>
        <v>48000</v>
      </c>
      <c r="AA14" s="11">
        <f>SUM(L14:N14)+S14-T14-SUM(V14:Y14)</f>
        <v>-11504000</v>
      </c>
      <c r="AB14" s="5">
        <f>ROUND(IF(AA14&gt;0,IF(AA14&gt;80000000,(AA14-80000000)*35%+18150000,IF(AA14&gt;52000000,(AA14-52000000)*30%+9750000,IF(AA14&gt;32000000,(AA14-32000000)*25%+4750000,IF(AA14&gt;18000000,(AA14-18000000)*20%+1950000,IF(AA14&gt;10000000,(AA14-10000000)*15%+750000,IF(AA14&gt;5000000,(AA14-5000000)*10%+250000,AA14*5%)))))),0),0)</f>
        <v>0</v>
      </c>
      <c r="AC14" s="5"/>
      <c r="AD14" s="12">
        <f>ROUND(SUM(L14:S14)-SUM(W14:Z14)-AB14+AC14,0)</f>
        <v>628000</v>
      </c>
      <c r="AE14" s="13"/>
      <c r="AF14" s="12">
        <f>SUM(L14:S14)</f>
        <v>1180000</v>
      </c>
      <c r="AG14" s="12">
        <f>SUM(L14+N14)*23.5%</f>
        <v>0</v>
      </c>
      <c r="AH14" s="12">
        <f>SUM(AF14:AG14)</f>
        <v>1180000</v>
      </c>
      <c r="AI14" s="12">
        <f>IF(L14+N14&lt;4800000,4800000,MIN(29800000,L14+N14))</f>
        <v>4800000</v>
      </c>
    </row>
    <row r="15" spans="1:35" ht="15">
      <c r="A15" s="4" t="s">
        <v>98</v>
      </c>
      <c r="B15" s="25" t="s">
        <v>99</v>
      </c>
      <c r="C15" s="25" t="s">
        <v>39</v>
      </c>
      <c r="D15" s="25" t="s">
        <v>100</v>
      </c>
      <c r="E15" s="25" t="s">
        <v>41</v>
      </c>
      <c r="F15" s="25"/>
      <c r="G15" s="25"/>
      <c r="H15" s="25" t="s">
        <v>86</v>
      </c>
      <c r="I15" s="21" t="s">
        <v>101</v>
      </c>
      <c r="J15" s="21" t="s">
        <v>102</v>
      </c>
      <c r="K15" s="5"/>
      <c r="L15" s="6"/>
      <c r="M15" s="5">
        <f>K15-L15</f>
        <v>0</v>
      </c>
      <c r="N15" s="7"/>
      <c r="O15" s="5">
        <v>730000</v>
      </c>
      <c r="P15" s="8"/>
      <c r="Q15" s="7">
        <v>50000</v>
      </c>
      <c r="R15" s="7">
        <v>400000</v>
      </c>
      <c r="S15" s="7"/>
      <c r="T15" s="9">
        <v>11000000</v>
      </c>
      <c r="U15" s="9"/>
      <c r="V15" s="9">
        <f>4400000*U15</f>
        <v>0</v>
      </c>
      <c r="W15" s="10">
        <f>AI15*8%</f>
        <v>384000</v>
      </c>
      <c r="X15" s="10">
        <f>AI15*1.5%</f>
        <v>72000</v>
      </c>
      <c r="Y15" s="10">
        <f>AI15*1%</f>
        <v>48000</v>
      </c>
      <c r="Z15" s="10">
        <f>AI15*1%</f>
        <v>48000</v>
      </c>
      <c r="AA15" s="11">
        <f>SUM(L15:N15)+S15-T15-SUM(V15:Y15)</f>
        <v>-11504000</v>
      </c>
      <c r="AB15" s="5">
        <f>ROUND(IF(AA15&gt;0,IF(AA15&gt;80000000,(AA15-80000000)*35%+18150000,IF(AA15&gt;52000000,(AA15-52000000)*30%+9750000,IF(AA15&gt;32000000,(AA15-32000000)*25%+4750000,IF(AA15&gt;18000000,(AA15-18000000)*20%+1950000,IF(AA15&gt;10000000,(AA15-10000000)*15%+750000,IF(AA15&gt;5000000,(AA15-5000000)*10%+250000,AA15*5%)))))),0),0)</f>
        <v>0</v>
      </c>
      <c r="AC15" s="5"/>
      <c r="AD15" s="12">
        <f>ROUND(SUM(L15:S15)-SUM(W15:Z15)-AB15+AC15,0)</f>
        <v>628000</v>
      </c>
      <c r="AE15" s="13"/>
      <c r="AF15" s="12">
        <f>SUM(L15:S15)</f>
        <v>1180000</v>
      </c>
      <c r="AG15" s="12">
        <f>SUM(L15+N15)*23.5%</f>
        <v>0</v>
      </c>
      <c r="AH15" s="12">
        <f>SUM(AF15:AG15)</f>
        <v>1180000</v>
      </c>
      <c r="AI15" s="12">
        <f>IF(L15+N15&lt;4800000,4800000,MIN(29800000,L15+N15))</f>
        <v>4800000</v>
      </c>
    </row>
    <row r="16" spans="1:35" ht="15">
      <c r="A16" s="4" t="s">
        <v>103</v>
      </c>
      <c r="B16" s="25" t="s">
        <v>104</v>
      </c>
      <c r="C16" s="25" t="s">
        <v>39</v>
      </c>
      <c r="D16" s="25" t="s">
        <v>105</v>
      </c>
      <c r="E16" s="25" t="s">
        <v>41</v>
      </c>
      <c r="F16" s="25"/>
      <c r="G16" s="25"/>
      <c r="H16" s="25" t="s">
        <v>86</v>
      </c>
      <c r="I16" s="21" t="s">
        <v>106</v>
      </c>
      <c r="J16" s="21" t="s">
        <v>102</v>
      </c>
      <c r="K16" s="5"/>
      <c r="L16" s="6"/>
      <c r="M16" s="5">
        <f>K16-L16</f>
        <v>0</v>
      </c>
      <c r="N16" s="7"/>
      <c r="O16" s="5">
        <v>730000</v>
      </c>
      <c r="P16" s="8"/>
      <c r="Q16" s="7">
        <v>50000</v>
      </c>
      <c r="R16" s="7">
        <v>400000</v>
      </c>
      <c r="S16" s="7"/>
      <c r="T16" s="9">
        <v>11000000</v>
      </c>
      <c r="U16" s="9"/>
      <c r="V16" s="9">
        <f>4400000*U16</f>
        <v>0</v>
      </c>
      <c r="W16" s="10">
        <f>AI16*8%</f>
        <v>384000</v>
      </c>
      <c r="X16" s="10">
        <f>AI16*1.5%</f>
        <v>72000</v>
      </c>
      <c r="Y16" s="10">
        <f>AI16*1%</f>
        <v>48000</v>
      </c>
      <c r="Z16" s="10">
        <f>AI16*1%</f>
        <v>48000</v>
      </c>
      <c r="AA16" s="11">
        <f>SUM(L16:N16)+S16-T16-SUM(V16:Y16)</f>
        <v>-11504000</v>
      </c>
      <c r="AB16" s="5">
        <f>ROUND(IF(AA16&gt;0,IF(AA16&gt;80000000,(AA16-80000000)*35%+18150000,IF(AA16&gt;52000000,(AA16-52000000)*30%+9750000,IF(AA16&gt;32000000,(AA16-32000000)*25%+4750000,IF(AA16&gt;18000000,(AA16-18000000)*20%+1950000,IF(AA16&gt;10000000,(AA16-10000000)*15%+750000,IF(AA16&gt;5000000,(AA16-5000000)*10%+250000,AA16*5%)))))),0),0)</f>
        <v>0</v>
      </c>
      <c r="AC16" s="5"/>
      <c r="AD16" s="12">
        <f>ROUND(SUM(L16:S16)-SUM(W16:Z16)-AB16+AC16,0)</f>
        <v>628000</v>
      </c>
      <c r="AE16" s="13"/>
      <c r="AF16" s="12">
        <f>SUM(L16:S16)</f>
        <v>1180000</v>
      </c>
      <c r="AG16" s="12">
        <f>SUM(L16+N16)*23.5%</f>
        <v>0</v>
      </c>
      <c r="AH16" s="12">
        <f>SUM(AF16:AG16)</f>
        <v>1180000</v>
      </c>
      <c r="AI16" s="12">
        <f>IF(L16+N16&lt;4800000,4800000,MIN(29800000,L16+N16))</f>
        <v>4800000</v>
      </c>
    </row>
    <row r="17" spans="1:35" ht="15">
      <c r="A17" s="4" t="s">
        <v>107</v>
      </c>
      <c r="B17" s="25" t="s">
        <v>108</v>
      </c>
      <c r="C17" s="25" t="s">
        <v>39</v>
      </c>
      <c r="D17" s="25" t="s">
        <v>109</v>
      </c>
      <c r="E17" s="25" t="s">
        <v>41</v>
      </c>
      <c r="F17" s="25"/>
      <c r="G17" s="25"/>
      <c r="H17" s="25" t="s">
        <v>110</v>
      </c>
      <c r="I17" s="21" t="s">
        <v>111</v>
      </c>
      <c r="J17" s="21" t="s">
        <v>112</v>
      </c>
      <c r="K17" s="5"/>
      <c r="L17" s="6"/>
      <c r="M17" s="5">
        <f>K17-L17</f>
        <v>0</v>
      </c>
      <c r="N17" s="7"/>
      <c r="O17" s="5">
        <v>730000</v>
      </c>
      <c r="P17" s="8"/>
      <c r="Q17" s="7">
        <v>50000</v>
      </c>
      <c r="R17" s="7">
        <v>400000</v>
      </c>
      <c r="S17" s="7"/>
      <c r="T17" s="9">
        <v>11000000</v>
      </c>
      <c r="U17" s="9"/>
      <c r="V17" s="9">
        <f>4400000*U17</f>
        <v>0</v>
      </c>
      <c r="W17" s="10">
        <f>AI17*8%</f>
        <v>384000</v>
      </c>
      <c r="X17" s="10">
        <f>AI17*1.5%</f>
        <v>72000</v>
      </c>
      <c r="Y17" s="10">
        <f>AI17*1%</f>
        <v>48000</v>
      </c>
      <c r="Z17" s="10">
        <f>AI17*1%</f>
        <v>48000</v>
      </c>
      <c r="AA17" s="11">
        <f>SUM(L17:N17)+S17-T17-SUM(V17:Y17)</f>
        <v>-11504000</v>
      </c>
      <c r="AB17" s="5">
        <f>ROUND(IF(AA17&gt;0,IF(AA17&gt;80000000,(AA17-80000000)*35%+18150000,IF(AA17&gt;52000000,(AA17-52000000)*30%+9750000,IF(AA17&gt;32000000,(AA17-32000000)*25%+4750000,IF(AA17&gt;18000000,(AA17-18000000)*20%+1950000,IF(AA17&gt;10000000,(AA17-10000000)*15%+750000,IF(AA17&gt;5000000,(AA17-5000000)*10%+250000,AA17*5%)))))),0),0)</f>
        <v>0</v>
      </c>
      <c r="AC17" s="5"/>
      <c r="AD17" s="12">
        <f>ROUND(SUM(L17:S17)-SUM(W17:Z17)-AB17+AC17,0)</f>
        <v>628000</v>
      </c>
      <c r="AE17" s="13"/>
      <c r="AF17" s="12">
        <f>SUM(L17:S17)</f>
        <v>1180000</v>
      </c>
      <c r="AG17" s="12">
        <f>SUM(L17+N17)*23.5%</f>
        <v>0</v>
      </c>
      <c r="AH17" s="12">
        <f>SUM(AF17:AG17)</f>
        <v>1180000</v>
      </c>
      <c r="AI17" s="12">
        <f>IF(L17+N17&lt;4800000,4800000,MIN(29800000,L17+N17))</f>
        <v>4800000</v>
      </c>
    </row>
    <row r="18" spans="1:35" ht="15">
      <c r="A18" s="4" t="s">
        <v>113</v>
      </c>
      <c r="B18" s="25" t="s">
        <v>114</v>
      </c>
      <c r="C18" s="25" t="s">
        <v>39</v>
      </c>
      <c r="D18" s="25" t="s">
        <v>115</v>
      </c>
      <c r="E18" s="25" t="s">
        <v>41</v>
      </c>
      <c r="F18" s="25"/>
      <c r="G18" s="25"/>
      <c r="H18" s="25" t="s">
        <v>110</v>
      </c>
      <c r="I18" s="21" t="s">
        <v>116</v>
      </c>
      <c r="J18" s="21" t="s">
        <v>117</v>
      </c>
      <c r="K18" s="5"/>
      <c r="L18" s="6"/>
      <c r="M18" s="5">
        <f>K18-L18</f>
        <v>0</v>
      </c>
      <c r="N18" s="7"/>
      <c r="O18" s="5">
        <v>730000</v>
      </c>
      <c r="P18" s="8"/>
      <c r="Q18" s="7">
        <v>50000</v>
      </c>
      <c r="R18" s="7">
        <v>400000</v>
      </c>
      <c r="S18" s="7"/>
      <c r="T18" s="9">
        <v>11000000</v>
      </c>
      <c r="U18" s="9"/>
      <c r="V18" s="9">
        <f>4400000*U18</f>
        <v>0</v>
      </c>
      <c r="W18" s="10">
        <f>AI18*8%</f>
        <v>384000</v>
      </c>
      <c r="X18" s="10">
        <f>AI18*1.5%</f>
        <v>72000</v>
      </c>
      <c r="Y18" s="10">
        <f>AI18*1%</f>
        <v>48000</v>
      </c>
      <c r="Z18" s="10">
        <f>AI18*1%</f>
        <v>48000</v>
      </c>
      <c r="AA18" s="11">
        <f>SUM(L18:N18)+S18-T18-SUM(V18:Y18)</f>
        <v>-11504000</v>
      </c>
      <c r="AB18" s="5">
        <f>ROUND(IF(AA18&gt;0,IF(AA18&gt;80000000,(AA18-80000000)*35%+18150000,IF(AA18&gt;52000000,(AA18-52000000)*30%+9750000,IF(AA18&gt;32000000,(AA18-32000000)*25%+4750000,IF(AA18&gt;18000000,(AA18-18000000)*20%+1950000,IF(AA18&gt;10000000,(AA18-10000000)*15%+750000,IF(AA18&gt;5000000,(AA18-5000000)*10%+250000,AA18*5%)))))),0),0)</f>
        <v>0</v>
      </c>
      <c r="AC18" s="5"/>
      <c r="AD18" s="12">
        <f>ROUND(SUM(L18:S18)-SUM(W18:Z18)-AB18+AC18,0)</f>
        <v>628000</v>
      </c>
      <c r="AE18" s="13"/>
      <c r="AF18" s="12">
        <f>SUM(L18:S18)</f>
        <v>1180000</v>
      </c>
      <c r="AG18" s="12">
        <f>SUM(L18+N18)*23.5%</f>
        <v>0</v>
      </c>
      <c r="AH18" s="12">
        <f>SUM(AF18:AG18)</f>
        <v>1180000</v>
      </c>
      <c r="AI18" s="12">
        <f>IF(L18+N18&lt;4800000,4800000,MIN(29800000,L18+N18))</f>
        <v>4800000</v>
      </c>
    </row>
    <row r="19" spans="1:35" ht="15">
      <c r="A19" s="4" t="s">
        <v>118</v>
      </c>
      <c r="B19" s="25" t="s">
        <v>119</v>
      </c>
      <c r="C19" s="25" t="s">
        <v>39</v>
      </c>
      <c r="D19" s="25" t="s">
        <v>120</v>
      </c>
      <c r="E19" s="25" t="s">
        <v>41</v>
      </c>
      <c r="F19" s="25"/>
      <c r="G19" s="25"/>
      <c r="H19" s="25" t="s">
        <v>121</v>
      </c>
      <c r="I19" s="21" t="s">
        <v>122</v>
      </c>
      <c r="J19" s="21" t="s">
        <v>123</v>
      </c>
      <c r="K19" s="5"/>
      <c r="L19" s="6"/>
      <c r="M19" s="5">
        <f>K19-L19</f>
        <v>0</v>
      </c>
      <c r="N19" s="7"/>
      <c r="O19" s="5">
        <v>730000</v>
      </c>
      <c r="P19" s="8"/>
      <c r="Q19" s="7">
        <v>50000</v>
      </c>
      <c r="R19" s="7">
        <v>400000</v>
      </c>
      <c r="S19" s="7"/>
      <c r="T19" s="9">
        <v>11000000</v>
      </c>
      <c r="U19" s="9"/>
      <c r="V19" s="9">
        <f>4400000*U19</f>
        <v>0</v>
      </c>
      <c r="W19" s="10">
        <f>AI19*8%</f>
        <v>384000</v>
      </c>
      <c r="X19" s="10">
        <f>AI19*1.5%</f>
        <v>72000</v>
      </c>
      <c r="Y19" s="10">
        <f>AI19*1%</f>
        <v>48000</v>
      </c>
      <c r="Z19" s="10">
        <f>AI19*1%</f>
        <v>48000</v>
      </c>
      <c r="AA19" s="11">
        <f>SUM(L19:N19)+S19-T19-SUM(V19:Y19)</f>
        <v>-11504000</v>
      </c>
      <c r="AB19" s="5">
        <f>ROUND(IF(AA19&gt;0,IF(AA19&gt;80000000,(AA19-80000000)*35%+18150000,IF(AA19&gt;52000000,(AA19-52000000)*30%+9750000,IF(AA19&gt;32000000,(AA19-32000000)*25%+4750000,IF(AA19&gt;18000000,(AA19-18000000)*20%+1950000,IF(AA19&gt;10000000,(AA19-10000000)*15%+750000,IF(AA19&gt;5000000,(AA19-5000000)*10%+250000,AA19*5%)))))),0),0)</f>
        <v>0</v>
      </c>
      <c r="AC19" s="5"/>
      <c r="AD19" s="12">
        <f>ROUND(SUM(L19:S19)-SUM(W19:Z19)-AB19+AC19,0)</f>
        <v>628000</v>
      </c>
      <c r="AE19" s="13"/>
      <c r="AF19" s="12">
        <f>SUM(L19:S19)</f>
        <v>1180000</v>
      </c>
      <c r="AG19" s="12">
        <f>SUM(L19+N19)*23.5%</f>
        <v>0</v>
      </c>
      <c r="AH19" s="12">
        <f>SUM(AF19:AG19)</f>
        <v>1180000</v>
      </c>
      <c r="AI19" s="12">
        <f>IF(L19+N19&lt;4800000,4800000,MIN(29800000,L19+N19))</f>
        <v>4800000</v>
      </c>
    </row>
    <row r="20" spans="1:35" ht="15">
      <c r="A20" s="4" t="s">
        <v>124</v>
      </c>
      <c r="B20" s="25" t="s">
        <v>125</v>
      </c>
      <c r="C20" s="25" t="s">
        <v>39</v>
      </c>
      <c r="D20" s="25" t="s">
        <v>126</v>
      </c>
      <c r="E20" s="25" t="s">
        <v>41</v>
      </c>
      <c r="F20" s="25"/>
      <c r="G20" s="25"/>
      <c r="H20" s="25" t="s">
        <v>121</v>
      </c>
      <c r="I20" s="21" t="s">
        <v>127</v>
      </c>
      <c r="J20" s="21" t="s">
        <v>97</v>
      </c>
      <c r="K20" s="5"/>
      <c r="L20" s="6"/>
      <c r="M20" s="5">
        <f>K20-L20</f>
        <v>0</v>
      </c>
      <c r="N20" s="7"/>
      <c r="O20" s="5">
        <v>730000</v>
      </c>
      <c r="P20" s="8"/>
      <c r="Q20" s="7">
        <v>50000</v>
      </c>
      <c r="R20" s="7">
        <v>400000</v>
      </c>
      <c r="S20" s="7"/>
      <c r="T20" s="9">
        <v>11000000</v>
      </c>
      <c r="U20" s="9"/>
      <c r="V20" s="9">
        <f>4400000*U20</f>
        <v>0</v>
      </c>
      <c r="W20" s="10">
        <f>AI20*8%</f>
        <v>384000</v>
      </c>
      <c r="X20" s="10">
        <f>AI20*1.5%</f>
        <v>72000</v>
      </c>
      <c r="Y20" s="10">
        <f>AI20*1%</f>
        <v>48000</v>
      </c>
      <c r="Z20" s="10">
        <f>AI20*1%</f>
        <v>48000</v>
      </c>
      <c r="AA20" s="11">
        <f>SUM(L20:N20)+S20-T20-SUM(V20:Y20)</f>
        <v>-11504000</v>
      </c>
      <c r="AB20" s="5">
        <f>ROUND(IF(AA20&gt;0,IF(AA20&gt;80000000,(AA20-80000000)*35%+18150000,IF(AA20&gt;52000000,(AA20-52000000)*30%+9750000,IF(AA20&gt;32000000,(AA20-32000000)*25%+4750000,IF(AA20&gt;18000000,(AA20-18000000)*20%+1950000,IF(AA20&gt;10000000,(AA20-10000000)*15%+750000,IF(AA20&gt;5000000,(AA20-5000000)*10%+250000,AA20*5%)))))),0),0)</f>
        <v>0</v>
      </c>
      <c r="AC20" s="5"/>
      <c r="AD20" s="12">
        <f>ROUND(SUM(L20:S20)-SUM(W20:Z20)-AB20+AC20,0)</f>
        <v>628000</v>
      </c>
      <c r="AE20" s="13"/>
      <c r="AF20" s="12">
        <f>SUM(L20:S20)</f>
        <v>1180000</v>
      </c>
      <c r="AG20" s="12">
        <f>SUM(L20+N20)*23.5%</f>
        <v>0</v>
      </c>
      <c r="AH20" s="12">
        <f>SUM(AF20:AG20)</f>
        <v>1180000</v>
      </c>
      <c r="AI20" s="12">
        <f>IF(L20+N20&lt;4800000,4800000,MIN(29800000,L20+N20))</f>
        <v>4800000</v>
      </c>
    </row>
    <row r="21" spans="1:35" ht="15">
      <c r="A21" s="4" t="s">
        <v>128</v>
      </c>
      <c r="B21" s="25" t="s">
        <v>129</v>
      </c>
      <c r="C21" s="25" t="s">
        <v>39</v>
      </c>
      <c r="D21" s="25" t="s">
        <v>130</v>
      </c>
      <c r="E21" s="25" t="s">
        <v>41</v>
      </c>
      <c r="F21" s="25"/>
      <c r="G21" s="25"/>
      <c r="H21" s="25" t="s">
        <v>121</v>
      </c>
      <c r="I21" s="21" t="s">
        <v>131</v>
      </c>
      <c r="J21" s="21" t="s">
        <v>97</v>
      </c>
      <c r="K21" s="5"/>
      <c r="L21" s="6"/>
      <c r="M21" s="5">
        <f>K21-L21</f>
        <v>0</v>
      </c>
      <c r="N21" s="7"/>
      <c r="O21" s="5">
        <v>730000</v>
      </c>
      <c r="P21" s="8"/>
      <c r="Q21" s="7">
        <v>50000</v>
      </c>
      <c r="R21" s="7">
        <v>400000</v>
      </c>
      <c r="S21" s="7"/>
      <c r="T21" s="9">
        <v>11000000</v>
      </c>
      <c r="U21" s="9"/>
      <c r="V21" s="9">
        <f>4400000*U21</f>
        <v>0</v>
      </c>
      <c r="W21" s="10">
        <f>AI21*8%</f>
        <v>384000</v>
      </c>
      <c r="X21" s="10">
        <f>AI21*1.5%</f>
        <v>72000</v>
      </c>
      <c r="Y21" s="10">
        <f>AI21*1%</f>
        <v>48000</v>
      </c>
      <c r="Z21" s="10">
        <f>AI21*1%</f>
        <v>48000</v>
      </c>
      <c r="AA21" s="11">
        <f>SUM(L21:N21)+S21-T21-SUM(V21:Y21)</f>
        <v>-11504000</v>
      </c>
      <c r="AB21" s="5">
        <f>ROUND(IF(AA21&gt;0,IF(AA21&gt;80000000,(AA21-80000000)*35%+18150000,IF(AA21&gt;52000000,(AA21-52000000)*30%+9750000,IF(AA21&gt;32000000,(AA21-32000000)*25%+4750000,IF(AA21&gt;18000000,(AA21-18000000)*20%+1950000,IF(AA21&gt;10000000,(AA21-10000000)*15%+750000,IF(AA21&gt;5000000,(AA21-5000000)*10%+250000,AA21*5%)))))),0),0)</f>
        <v>0</v>
      </c>
      <c r="AC21" s="5"/>
      <c r="AD21" s="12">
        <f>ROUND(SUM(L21:S21)-SUM(W21:Z21)-AB21+AC21,0)</f>
        <v>628000</v>
      </c>
      <c r="AE21" s="13"/>
      <c r="AF21" s="12">
        <f>SUM(L21:S21)</f>
        <v>1180000</v>
      </c>
      <c r="AG21" s="12">
        <f>SUM(L21+N21)*23.5%</f>
        <v>0</v>
      </c>
      <c r="AH21" s="12">
        <f>SUM(AF21:AG21)</f>
        <v>1180000</v>
      </c>
      <c r="AI21" s="12">
        <f>IF(L21+N21&lt;4800000,4800000,MIN(29800000,L21+N21))</f>
        <v>4800000</v>
      </c>
    </row>
    <row r="22" spans="1:35" ht="15">
      <c r="A22" s="4" t="s">
        <v>132</v>
      </c>
      <c r="B22" s="25" t="s">
        <v>133</v>
      </c>
      <c r="C22" s="25" t="s">
        <v>39</v>
      </c>
      <c r="D22" s="25" t="s">
        <v>134</v>
      </c>
      <c r="E22" s="25" t="s">
        <v>41</v>
      </c>
      <c r="F22" s="25"/>
      <c r="G22" s="25"/>
      <c r="H22" s="25" t="s">
        <v>121</v>
      </c>
      <c r="I22" s="21" t="s">
        <v>135</v>
      </c>
      <c r="J22" s="21" t="s">
        <v>97</v>
      </c>
      <c r="K22" s="5"/>
      <c r="L22" s="6"/>
      <c r="M22" s="5">
        <f>K22-L22</f>
        <v>0</v>
      </c>
      <c r="N22" s="7"/>
      <c r="O22" s="5">
        <v>730000</v>
      </c>
      <c r="P22" s="8"/>
      <c r="Q22" s="7">
        <v>50000</v>
      </c>
      <c r="R22" s="7">
        <v>400000</v>
      </c>
      <c r="S22" s="7"/>
      <c r="T22" s="9">
        <v>11000000</v>
      </c>
      <c r="U22" s="9"/>
      <c r="V22" s="9">
        <f>4400000*U22</f>
        <v>0</v>
      </c>
      <c r="W22" s="10">
        <f>AI22*8%</f>
        <v>384000</v>
      </c>
      <c r="X22" s="10">
        <f>AI22*1.5%</f>
        <v>72000</v>
      </c>
      <c r="Y22" s="10">
        <f>AI22*1%</f>
        <v>48000</v>
      </c>
      <c r="Z22" s="10">
        <f>AI22*1%</f>
        <v>48000</v>
      </c>
      <c r="AA22" s="11">
        <f>SUM(L22:N22)+S22-T22-SUM(V22:Y22)</f>
        <v>-11504000</v>
      </c>
      <c r="AB22" s="5">
        <f>ROUND(IF(AA22&gt;0,IF(AA22&gt;80000000,(AA22-80000000)*35%+18150000,IF(AA22&gt;52000000,(AA22-52000000)*30%+9750000,IF(AA22&gt;32000000,(AA22-32000000)*25%+4750000,IF(AA22&gt;18000000,(AA22-18000000)*20%+1950000,IF(AA22&gt;10000000,(AA22-10000000)*15%+750000,IF(AA22&gt;5000000,(AA22-5000000)*10%+250000,AA22*5%)))))),0),0)</f>
        <v>0</v>
      </c>
      <c r="AC22" s="5"/>
      <c r="AD22" s="12">
        <f>ROUND(SUM(L22:S22)-SUM(W22:Z22)-AB22+AC22,0)</f>
        <v>628000</v>
      </c>
      <c r="AE22" s="13"/>
      <c r="AF22" s="12">
        <f>SUM(L22:S22)</f>
        <v>1180000</v>
      </c>
      <c r="AG22" s="12">
        <f>SUM(L22+N22)*23.5%</f>
        <v>0</v>
      </c>
      <c r="AH22" s="12">
        <f>SUM(AF22:AG22)</f>
        <v>1180000</v>
      </c>
      <c r="AI22" s="12">
        <f>IF(L22+N22&lt;4800000,4800000,MIN(29800000,L22+N22))</f>
        <v>4800000</v>
      </c>
    </row>
    <row r="23" spans="1:35" ht="15">
      <c r="A23" s="4" t="s">
        <v>136</v>
      </c>
      <c r="B23" s="25" t="s">
        <v>137</v>
      </c>
      <c r="C23" s="25" t="s">
        <v>39</v>
      </c>
      <c r="D23" s="25" t="s">
        <v>138</v>
      </c>
      <c r="E23" s="25" t="s">
        <v>41</v>
      </c>
      <c r="F23" s="25"/>
      <c r="G23" s="25"/>
      <c r="H23" s="25" t="s">
        <v>121</v>
      </c>
      <c r="I23" s="21" t="s">
        <v>139</v>
      </c>
      <c r="J23" s="21" t="s">
        <v>97</v>
      </c>
      <c r="K23" s="5"/>
      <c r="L23" s="6"/>
      <c r="M23" s="5">
        <f>K23-L23</f>
        <v>0</v>
      </c>
      <c r="N23" s="7"/>
      <c r="O23" s="5">
        <v>730000</v>
      </c>
      <c r="P23" s="8"/>
      <c r="Q23" s="7">
        <v>50000</v>
      </c>
      <c r="R23" s="7">
        <v>400000</v>
      </c>
      <c r="S23" s="7"/>
      <c r="T23" s="9">
        <v>11000000</v>
      </c>
      <c r="U23" s="9"/>
      <c r="V23" s="9">
        <f>4400000*U23</f>
        <v>0</v>
      </c>
      <c r="W23" s="10">
        <f>AI23*8%</f>
        <v>384000</v>
      </c>
      <c r="X23" s="10">
        <f>AI23*1.5%</f>
        <v>72000</v>
      </c>
      <c r="Y23" s="10">
        <f>AI23*1%</f>
        <v>48000</v>
      </c>
      <c r="Z23" s="10">
        <f>AI23*1%</f>
        <v>48000</v>
      </c>
      <c r="AA23" s="11">
        <f>SUM(L23:N23)+S23-T23-SUM(V23:Y23)</f>
        <v>-11504000</v>
      </c>
      <c r="AB23" s="5">
        <f>ROUND(IF(AA23&gt;0,IF(AA23&gt;80000000,(AA23-80000000)*35%+18150000,IF(AA23&gt;52000000,(AA23-52000000)*30%+9750000,IF(AA23&gt;32000000,(AA23-32000000)*25%+4750000,IF(AA23&gt;18000000,(AA23-18000000)*20%+1950000,IF(AA23&gt;10000000,(AA23-10000000)*15%+750000,IF(AA23&gt;5000000,(AA23-5000000)*10%+250000,AA23*5%)))))),0),0)</f>
        <v>0</v>
      </c>
      <c r="AC23" s="5"/>
      <c r="AD23" s="12">
        <f>ROUND(SUM(L23:S23)-SUM(W23:Z23)-AB23+AC23,0)</f>
        <v>628000</v>
      </c>
      <c r="AE23" s="13"/>
      <c r="AF23" s="12">
        <f>SUM(L23:S23)</f>
        <v>1180000</v>
      </c>
      <c r="AG23" s="12">
        <f>SUM(L23+N23)*23.5%</f>
        <v>0</v>
      </c>
      <c r="AH23" s="12">
        <f>SUM(AF23:AG23)</f>
        <v>1180000</v>
      </c>
      <c r="AI23" s="12">
        <f>IF(L23+N23&lt;4800000,4800000,MIN(29800000,L23+N23))</f>
        <v>4800000</v>
      </c>
    </row>
    <row r="24" spans="1:35" ht="15">
      <c r="A24" s="4" t="s">
        <v>140</v>
      </c>
      <c r="B24" s="25" t="s">
        <v>141</v>
      </c>
      <c r="C24" s="25" t="s">
        <v>39</v>
      </c>
      <c r="D24" s="25" t="s">
        <v>142</v>
      </c>
      <c r="E24" s="25" t="s">
        <v>41</v>
      </c>
      <c r="F24" s="25"/>
      <c r="G24" s="25"/>
      <c r="H24" s="25" t="s">
        <v>143</v>
      </c>
      <c r="I24" s="21" t="s">
        <v>144</v>
      </c>
      <c r="J24" s="21" t="s">
        <v>123</v>
      </c>
      <c r="K24" s="5"/>
      <c r="L24" s="6"/>
      <c r="M24" s="5">
        <f>K24-L24</f>
        <v>0</v>
      </c>
      <c r="N24" s="7"/>
      <c r="O24" s="5">
        <v>730000</v>
      </c>
      <c r="P24" s="8"/>
      <c r="Q24" s="7">
        <v>50000</v>
      </c>
      <c r="R24" s="7">
        <v>400000</v>
      </c>
      <c r="S24" s="7"/>
      <c r="T24" s="9">
        <v>11000000</v>
      </c>
      <c r="U24" s="9"/>
      <c r="V24" s="9">
        <f>4400000*U24</f>
        <v>0</v>
      </c>
      <c r="W24" s="10">
        <f>AI24*8%</f>
        <v>384000</v>
      </c>
      <c r="X24" s="10">
        <f>AI24*1.5%</f>
        <v>72000</v>
      </c>
      <c r="Y24" s="10">
        <f>AI24*1%</f>
        <v>48000</v>
      </c>
      <c r="Z24" s="10">
        <f>AI24*1%</f>
        <v>48000</v>
      </c>
      <c r="AA24" s="11">
        <f>SUM(L24:N24)+S24-T24-SUM(V24:Y24)</f>
        <v>-11504000</v>
      </c>
      <c r="AB24" s="5">
        <f>ROUND(IF(AA24&gt;0,IF(AA24&gt;80000000,(AA24-80000000)*35%+18150000,IF(AA24&gt;52000000,(AA24-52000000)*30%+9750000,IF(AA24&gt;32000000,(AA24-32000000)*25%+4750000,IF(AA24&gt;18000000,(AA24-18000000)*20%+1950000,IF(AA24&gt;10000000,(AA24-10000000)*15%+750000,IF(AA24&gt;5000000,(AA24-5000000)*10%+250000,AA24*5%)))))),0),0)</f>
        <v>0</v>
      </c>
      <c r="AC24" s="5"/>
      <c r="AD24" s="12">
        <f>ROUND(SUM(L24:S24)-SUM(W24:Z24)-AB24+AC24,0)</f>
        <v>628000</v>
      </c>
      <c r="AE24" s="13"/>
      <c r="AF24" s="12">
        <f>SUM(L24:S24)</f>
        <v>1180000</v>
      </c>
      <c r="AG24" s="12">
        <f>SUM(L24+N24)*23.5%</f>
        <v>0</v>
      </c>
      <c r="AH24" s="12">
        <f>SUM(AF24:AG24)</f>
        <v>1180000</v>
      </c>
      <c r="AI24" s="12">
        <f>IF(L24+N24&lt;4800000,4800000,MIN(29800000,L24+N24))</f>
        <v>4800000</v>
      </c>
    </row>
    <row r="25" spans="1:35" ht="15">
      <c r="A25" s="4" t="s">
        <v>145</v>
      </c>
      <c r="B25" s="25" t="s">
        <v>146</v>
      </c>
      <c r="C25" s="25" t="s">
        <v>39</v>
      </c>
      <c r="D25" s="25" t="s">
        <v>147</v>
      </c>
      <c r="E25" s="25" t="s">
        <v>41</v>
      </c>
      <c r="F25" s="25"/>
      <c r="G25" s="25"/>
      <c r="H25" s="25" t="s">
        <v>143</v>
      </c>
      <c r="I25" s="21" t="s">
        <v>148</v>
      </c>
      <c r="J25" s="21" t="s">
        <v>97</v>
      </c>
      <c r="K25" s="5"/>
      <c r="L25" s="6"/>
      <c r="M25" s="5">
        <f>K25-L25</f>
        <v>0</v>
      </c>
      <c r="N25" s="7"/>
      <c r="O25" s="5">
        <v>730000</v>
      </c>
      <c r="P25" s="8"/>
      <c r="Q25" s="7">
        <v>50000</v>
      </c>
      <c r="R25" s="7">
        <v>400000</v>
      </c>
      <c r="S25" s="7"/>
      <c r="T25" s="9">
        <v>11000000</v>
      </c>
      <c r="U25" s="9"/>
      <c r="V25" s="9">
        <f>4400000*U25</f>
        <v>0</v>
      </c>
      <c r="W25" s="10">
        <f>AI25*8%</f>
        <v>384000</v>
      </c>
      <c r="X25" s="10">
        <f>AI25*1.5%</f>
        <v>72000</v>
      </c>
      <c r="Y25" s="10">
        <f>AI25*1%</f>
        <v>48000</v>
      </c>
      <c r="Z25" s="10">
        <f>AI25*1%</f>
        <v>48000</v>
      </c>
      <c r="AA25" s="11">
        <f>SUM(L25:N25)+S25-T25-SUM(V25:Y25)</f>
        <v>-11504000</v>
      </c>
      <c r="AB25" s="5">
        <f>ROUND(IF(AA25&gt;0,IF(AA25&gt;80000000,(AA25-80000000)*35%+18150000,IF(AA25&gt;52000000,(AA25-52000000)*30%+9750000,IF(AA25&gt;32000000,(AA25-32000000)*25%+4750000,IF(AA25&gt;18000000,(AA25-18000000)*20%+1950000,IF(AA25&gt;10000000,(AA25-10000000)*15%+750000,IF(AA25&gt;5000000,(AA25-5000000)*10%+250000,AA25*5%)))))),0),0)</f>
        <v>0</v>
      </c>
      <c r="AC25" s="5"/>
      <c r="AD25" s="12">
        <f>ROUND(SUM(L25:S25)-SUM(W25:Z25)-AB25+AC25,0)</f>
        <v>628000</v>
      </c>
      <c r="AE25" s="13"/>
      <c r="AF25" s="12">
        <f>SUM(L25:S25)</f>
        <v>1180000</v>
      </c>
      <c r="AG25" s="12">
        <f>SUM(L25+N25)*23.5%</f>
        <v>0</v>
      </c>
      <c r="AH25" s="12">
        <f>SUM(AF25:AG25)</f>
        <v>1180000</v>
      </c>
      <c r="AI25" s="12">
        <f>IF(L25+N25&lt;4800000,4800000,MIN(29800000,L25+N25))</f>
        <v>4800000</v>
      </c>
    </row>
    <row r="26" spans="1:35" ht="15">
      <c r="A26" s="4" t="s">
        <v>149</v>
      </c>
      <c r="B26" s="25" t="s">
        <v>150</v>
      </c>
      <c r="C26" s="25" t="s">
        <v>39</v>
      </c>
      <c r="D26" s="25" t="s">
        <v>151</v>
      </c>
      <c r="E26" s="25" t="s">
        <v>41</v>
      </c>
      <c r="F26" s="25"/>
      <c r="G26" s="25"/>
      <c r="H26" s="25" t="s">
        <v>143</v>
      </c>
      <c r="I26" s="21" t="s">
        <v>152</v>
      </c>
      <c r="J26" s="21" t="s">
        <v>97</v>
      </c>
      <c r="K26" s="5"/>
      <c r="L26" s="6"/>
      <c r="M26" s="5">
        <f>K26-L26</f>
        <v>0</v>
      </c>
      <c r="N26" s="7"/>
      <c r="O26" s="5">
        <v>730000</v>
      </c>
      <c r="P26" s="8"/>
      <c r="Q26" s="7">
        <v>50000</v>
      </c>
      <c r="R26" s="7">
        <v>400000</v>
      </c>
      <c r="S26" s="7"/>
      <c r="T26" s="9">
        <v>11000000</v>
      </c>
      <c r="U26" s="9"/>
      <c r="V26" s="9">
        <f>4400000*U26</f>
        <v>0</v>
      </c>
      <c r="W26" s="10">
        <f>AI26*8%</f>
        <v>384000</v>
      </c>
      <c r="X26" s="10">
        <f>AI26*1.5%</f>
        <v>72000</v>
      </c>
      <c r="Y26" s="10">
        <f>AI26*1%</f>
        <v>48000</v>
      </c>
      <c r="Z26" s="10">
        <f>AI26*1%</f>
        <v>48000</v>
      </c>
      <c r="AA26" s="11">
        <f>SUM(L26:N26)+S26-T26-SUM(V26:Y26)</f>
        <v>-11504000</v>
      </c>
      <c r="AB26" s="5">
        <f>ROUND(IF(AA26&gt;0,IF(AA26&gt;80000000,(AA26-80000000)*35%+18150000,IF(AA26&gt;52000000,(AA26-52000000)*30%+9750000,IF(AA26&gt;32000000,(AA26-32000000)*25%+4750000,IF(AA26&gt;18000000,(AA26-18000000)*20%+1950000,IF(AA26&gt;10000000,(AA26-10000000)*15%+750000,IF(AA26&gt;5000000,(AA26-5000000)*10%+250000,AA26*5%)))))),0),0)</f>
        <v>0</v>
      </c>
      <c r="AC26" s="5"/>
      <c r="AD26" s="12">
        <f>ROUND(SUM(L26:S26)-SUM(W26:Z26)-AB26+AC26,0)</f>
        <v>628000</v>
      </c>
      <c r="AE26" s="13"/>
      <c r="AF26" s="12">
        <f>SUM(L26:S26)</f>
        <v>1180000</v>
      </c>
      <c r="AG26" s="12">
        <f>SUM(L26+N26)*23.5%</f>
        <v>0</v>
      </c>
      <c r="AH26" s="12">
        <f>SUM(AF26:AG26)</f>
        <v>1180000</v>
      </c>
      <c r="AI26" s="12">
        <f>IF(L26+N26&lt;4800000,4800000,MIN(29800000,L26+N26))</f>
        <v>4800000</v>
      </c>
    </row>
    <row r="27" spans="1:35" ht="15">
      <c r="A27" s="4" t="s">
        <v>153</v>
      </c>
      <c r="B27" s="25" t="s">
        <v>154</v>
      </c>
      <c r="C27" s="25" t="s">
        <v>39</v>
      </c>
      <c r="D27" s="25" t="s">
        <v>155</v>
      </c>
      <c r="E27" s="25" t="s">
        <v>41</v>
      </c>
      <c r="F27" s="25"/>
      <c r="G27" s="25"/>
      <c r="H27" s="25" t="s">
        <v>156</v>
      </c>
      <c r="I27" s="21" t="s">
        <v>157</v>
      </c>
      <c r="J27" s="21" t="s">
        <v>97</v>
      </c>
      <c r="K27" s="5"/>
      <c r="L27" s="6"/>
      <c r="M27" s="5">
        <f>K27-L27</f>
        <v>0</v>
      </c>
      <c r="N27" s="7"/>
      <c r="O27" s="5">
        <v>730000</v>
      </c>
      <c r="P27" s="8"/>
      <c r="Q27" s="7">
        <v>50000</v>
      </c>
      <c r="R27" s="7">
        <v>400000</v>
      </c>
      <c r="S27" s="7"/>
      <c r="T27" s="9">
        <v>11000000</v>
      </c>
      <c r="U27" s="9"/>
      <c r="V27" s="9">
        <f>4400000*U27</f>
        <v>0</v>
      </c>
      <c r="W27" s="10">
        <f>AI27*8%</f>
        <v>384000</v>
      </c>
      <c r="X27" s="10">
        <f>AI27*1.5%</f>
        <v>72000</v>
      </c>
      <c r="Y27" s="10">
        <f>AI27*1%</f>
        <v>48000</v>
      </c>
      <c r="Z27" s="10">
        <f>AI27*1%</f>
        <v>48000</v>
      </c>
      <c r="AA27" s="11">
        <f>SUM(L27:N27)+S27-T27-SUM(V27:Y27)</f>
        <v>-11504000</v>
      </c>
      <c r="AB27" s="5">
        <f>ROUND(IF(AA27&gt;0,IF(AA27&gt;80000000,(AA27-80000000)*35%+18150000,IF(AA27&gt;52000000,(AA27-52000000)*30%+9750000,IF(AA27&gt;32000000,(AA27-32000000)*25%+4750000,IF(AA27&gt;18000000,(AA27-18000000)*20%+1950000,IF(AA27&gt;10000000,(AA27-10000000)*15%+750000,IF(AA27&gt;5000000,(AA27-5000000)*10%+250000,AA27*5%)))))),0),0)</f>
        <v>0</v>
      </c>
      <c r="AC27" s="5"/>
      <c r="AD27" s="12">
        <f>ROUND(SUM(L27:S27)-SUM(W27:Z27)-AB27+AC27,0)</f>
        <v>628000</v>
      </c>
      <c r="AE27" s="13"/>
      <c r="AF27" s="12">
        <f>SUM(L27:S27)</f>
        <v>1180000</v>
      </c>
      <c r="AG27" s="12">
        <f>SUM(L27+N27)*23.5%</f>
        <v>0</v>
      </c>
      <c r="AH27" s="12">
        <f>SUM(AF27:AG27)</f>
        <v>1180000</v>
      </c>
      <c r="AI27" s="12">
        <f>IF(L27+N27&lt;4800000,4800000,MIN(29800000,L27+N27))</f>
        <v>4800000</v>
      </c>
    </row>
    <row r="28" spans="1:35" ht="15">
      <c r="A28" s="4" t="s">
        <v>158</v>
      </c>
      <c r="B28" s="25" t="s">
        <v>159</v>
      </c>
      <c r="C28" s="25" t="s">
        <v>39</v>
      </c>
      <c r="D28" s="25" t="s">
        <v>160</v>
      </c>
      <c r="E28" s="25" t="s">
        <v>41</v>
      </c>
      <c r="F28" s="25"/>
      <c r="G28" s="25"/>
      <c r="H28" s="25" t="s">
        <v>156</v>
      </c>
      <c r="I28" s="21" t="s">
        <v>161</v>
      </c>
      <c r="J28" s="21" t="s">
        <v>162</v>
      </c>
      <c r="K28" s="5"/>
      <c r="L28" s="6"/>
      <c r="M28" s="5">
        <f>K28-L28</f>
        <v>0</v>
      </c>
      <c r="N28" s="7"/>
      <c r="O28" s="5">
        <v>730000</v>
      </c>
      <c r="P28" s="8"/>
      <c r="Q28" s="7">
        <v>50000</v>
      </c>
      <c r="R28" s="7">
        <v>400000</v>
      </c>
      <c r="S28" s="7"/>
      <c r="T28" s="9">
        <v>11000000</v>
      </c>
      <c r="U28" s="9"/>
      <c r="V28" s="9">
        <f>4400000*U28</f>
        <v>0</v>
      </c>
      <c r="W28" s="10">
        <f>AI28*8%</f>
        <v>384000</v>
      </c>
      <c r="X28" s="10">
        <f>AI28*1.5%</f>
        <v>72000</v>
      </c>
      <c r="Y28" s="10">
        <f>AI28*1%</f>
        <v>48000</v>
      </c>
      <c r="Z28" s="10">
        <f>AI28*1%</f>
        <v>48000</v>
      </c>
      <c r="AA28" s="11">
        <f>SUM(L28:N28)+S28-T28-SUM(V28:Y28)</f>
        <v>-11504000</v>
      </c>
      <c r="AB28" s="5">
        <f>ROUND(IF(AA28&gt;0,IF(AA28&gt;80000000,(AA28-80000000)*35%+18150000,IF(AA28&gt;52000000,(AA28-52000000)*30%+9750000,IF(AA28&gt;32000000,(AA28-32000000)*25%+4750000,IF(AA28&gt;18000000,(AA28-18000000)*20%+1950000,IF(AA28&gt;10000000,(AA28-10000000)*15%+750000,IF(AA28&gt;5000000,(AA28-5000000)*10%+250000,AA28*5%)))))),0),0)</f>
        <v>0</v>
      </c>
      <c r="AC28" s="5"/>
      <c r="AD28" s="12">
        <f>ROUND(SUM(L28:S28)-SUM(W28:Z28)-AB28+AC28,0)</f>
        <v>628000</v>
      </c>
      <c r="AE28" s="13"/>
      <c r="AF28" s="12">
        <f>SUM(L28:S28)</f>
        <v>1180000</v>
      </c>
      <c r="AG28" s="12">
        <f>SUM(L28+N28)*23.5%</f>
        <v>0</v>
      </c>
      <c r="AH28" s="12">
        <f>SUM(AF28:AG28)</f>
        <v>1180000</v>
      </c>
      <c r="AI28" s="12">
        <f>IF(L28+N28&lt;4800000,4800000,MIN(29800000,L28+N28))</f>
        <v>4800000</v>
      </c>
    </row>
    <row r="29" spans="1:35" ht="15">
      <c r="A29" s="4" t="s">
        <v>163</v>
      </c>
      <c r="B29" s="25" t="s">
        <v>164</v>
      </c>
      <c r="C29" s="25" t="s">
        <v>39</v>
      </c>
      <c r="D29" s="25" t="s">
        <v>165</v>
      </c>
      <c r="E29" s="25" t="s">
        <v>41</v>
      </c>
      <c r="F29" s="25"/>
      <c r="G29" s="25"/>
      <c r="H29" s="25" t="s">
        <v>156</v>
      </c>
      <c r="I29" s="21" t="s">
        <v>166</v>
      </c>
      <c r="J29" s="21" t="s">
        <v>97</v>
      </c>
      <c r="K29" s="5"/>
      <c r="L29" s="6"/>
      <c r="M29" s="5">
        <f>K29-L29</f>
        <v>0</v>
      </c>
      <c r="N29" s="7"/>
      <c r="O29" s="5">
        <v>730000</v>
      </c>
      <c r="P29" s="8"/>
      <c r="Q29" s="7">
        <v>50000</v>
      </c>
      <c r="R29" s="7">
        <v>400000</v>
      </c>
      <c r="S29" s="7"/>
      <c r="T29" s="9">
        <v>11000000</v>
      </c>
      <c r="U29" s="9"/>
      <c r="V29" s="9">
        <f>4400000*U29</f>
        <v>0</v>
      </c>
      <c r="W29" s="10">
        <f>AI29*8%</f>
        <v>384000</v>
      </c>
      <c r="X29" s="10">
        <f>AI29*1.5%</f>
        <v>72000</v>
      </c>
      <c r="Y29" s="10">
        <f>AI29*1%</f>
        <v>48000</v>
      </c>
      <c r="Z29" s="10">
        <f>AI29*1%</f>
        <v>48000</v>
      </c>
      <c r="AA29" s="11">
        <f>SUM(L29:N29)+S29-T29-SUM(V29:Y29)</f>
        <v>-11504000</v>
      </c>
      <c r="AB29" s="5">
        <f>ROUND(IF(AA29&gt;0,IF(AA29&gt;80000000,(AA29-80000000)*35%+18150000,IF(AA29&gt;52000000,(AA29-52000000)*30%+9750000,IF(AA29&gt;32000000,(AA29-32000000)*25%+4750000,IF(AA29&gt;18000000,(AA29-18000000)*20%+1950000,IF(AA29&gt;10000000,(AA29-10000000)*15%+750000,IF(AA29&gt;5000000,(AA29-5000000)*10%+250000,AA29*5%)))))),0),0)</f>
        <v>0</v>
      </c>
      <c r="AC29" s="5"/>
      <c r="AD29" s="12">
        <f>ROUND(SUM(L29:S29)-SUM(W29:Z29)-AB29+AC29,0)</f>
        <v>628000</v>
      </c>
      <c r="AE29" s="13"/>
      <c r="AF29" s="12">
        <f>SUM(L29:S29)</f>
        <v>1180000</v>
      </c>
      <c r="AG29" s="12">
        <f>SUM(L29+N29)*23.5%</f>
        <v>0</v>
      </c>
      <c r="AH29" s="12">
        <f>SUM(AF29:AG29)</f>
        <v>1180000</v>
      </c>
      <c r="AI29" s="12">
        <f>IF(L29+N29&lt;4800000,4800000,MIN(29800000,L29+N29))</f>
        <v>4800000</v>
      </c>
    </row>
    <row r="30" spans="1:35" ht="15">
      <c r="A30" s="4" t="s">
        <v>167</v>
      </c>
      <c r="B30" s="25" t="s">
        <v>168</v>
      </c>
      <c r="C30" s="25" t="s">
        <v>39</v>
      </c>
      <c r="D30" s="25" t="s">
        <v>169</v>
      </c>
      <c r="E30" s="25" t="s">
        <v>41</v>
      </c>
      <c r="F30" s="25"/>
      <c r="G30" s="25"/>
      <c r="H30" s="25" t="s">
        <v>156</v>
      </c>
      <c r="I30" s="21" t="s">
        <v>170</v>
      </c>
      <c r="J30" s="21" t="s">
        <v>97</v>
      </c>
      <c r="K30" s="5"/>
      <c r="L30" s="6"/>
      <c r="M30" s="5">
        <f>K30-L30</f>
        <v>0</v>
      </c>
      <c r="N30" s="7"/>
      <c r="O30" s="5">
        <v>730000</v>
      </c>
      <c r="P30" s="8"/>
      <c r="Q30" s="7">
        <v>50000</v>
      </c>
      <c r="R30" s="7">
        <v>400000</v>
      </c>
      <c r="S30" s="7"/>
      <c r="T30" s="9">
        <v>11000000</v>
      </c>
      <c r="U30" s="9"/>
      <c r="V30" s="9">
        <f>4400000*U30</f>
        <v>0</v>
      </c>
      <c r="W30" s="10">
        <f>AI30*8%</f>
        <v>384000</v>
      </c>
      <c r="X30" s="10">
        <f>AI30*1.5%</f>
        <v>72000</v>
      </c>
      <c r="Y30" s="10">
        <f>AI30*1%</f>
        <v>48000</v>
      </c>
      <c r="Z30" s="10">
        <f>AI30*1%</f>
        <v>48000</v>
      </c>
      <c r="AA30" s="11">
        <f>SUM(L30:N30)+S30-T30-SUM(V30:Y30)</f>
        <v>-11504000</v>
      </c>
      <c r="AB30" s="5">
        <f>ROUND(IF(AA30&gt;0,IF(AA30&gt;80000000,(AA30-80000000)*35%+18150000,IF(AA30&gt;52000000,(AA30-52000000)*30%+9750000,IF(AA30&gt;32000000,(AA30-32000000)*25%+4750000,IF(AA30&gt;18000000,(AA30-18000000)*20%+1950000,IF(AA30&gt;10000000,(AA30-10000000)*15%+750000,IF(AA30&gt;5000000,(AA30-5000000)*10%+250000,AA30*5%)))))),0),0)</f>
        <v>0</v>
      </c>
      <c r="AC30" s="5"/>
      <c r="AD30" s="12">
        <f>ROUND(SUM(L30:S30)-SUM(W30:Z30)-AB30+AC30,0)</f>
        <v>628000</v>
      </c>
      <c r="AE30" s="13"/>
      <c r="AF30" s="12">
        <f>SUM(L30:S30)</f>
        <v>1180000</v>
      </c>
      <c r="AG30" s="12">
        <f>SUM(L30+N30)*23.5%</f>
        <v>0</v>
      </c>
      <c r="AH30" s="12">
        <f>SUM(AF30:AG30)</f>
        <v>1180000</v>
      </c>
      <c r="AI30" s="12">
        <f>IF(L30+N30&lt;4800000,4800000,MIN(29800000,L30+N30))</f>
        <v>4800000</v>
      </c>
    </row>
    <row r="31" spans="1:35" ht="15">
      <c r="A31" s="4" t="s">
        <v>171</v>
      </c>
      <c r="B31" s="25" t="s">
        <v>172</v>
      </c>
      <c r="C31" s="25" t="s">
        <v>39</v>
      </c>
      <c r="D31" s="25" t="s">
        <v>173</v>
      </c>
      <c r="E31" s="25" t="s">
        <v>41</v>
      </c>
      <c r="F31" s="25"/>
      <c r="G31" s="25"/>
      <c r="H31" s="25" t="s">
        <v>156</v>
      </c>
      <c r="I31" s="21" t="s">
        <v>174</v>
      </c>
      <c r="J31" s="21" t="s">
        <v>97</v>
      </c>
      <c r="K31" s="5"/>
      <c r="L31" s="6"/>
      <c r="M31" s="5">
        <f>K31-L31</f>
        <v>0</v>
      </c>
      <c r="N31" s="7"/>
      <c r="O31" s="5">
        <v>730000</v>
      </c>
      <c r="P31" s="8"/>
      <c r="Q31" s="7">
        <v>50000</v>
      </c>
      <c r="R31" s="7">
        <v>400000</v>
      </c>
      <c r="S31" s="7"/>
      <c r="T31" s="9">
        <v>11000000</v>
      </c>
      <c r="U31" s="9"/>
      <c r="V31" s="9">
        <f>4400000*U31</f>
        <v>0</v>
      </c>
      <c r="W31" s="10">
        <f>AI31*8%</f>
        <v>384000</v>
      </c>
      <c r="X31" s="10">
        <f>AI31*1.5%</f>
        <v>72000</v>
      </c>
      <c r="Y31" s="10">
        <f>AI31*1%</f>
        <v>48000</v>
      </c>
      <c r="Z31" s="10">
        <f>AI31*1%</f>
        <v>48000</v>
      </c>
      <c r="AA31" s="11">
        <f>SUM(L31:N31)+S31-T31-SUM(V31:Y31)</f>
        <v>-11504000</v>
      </c>
      <c r="AB31" s="5">
        <f>ROUND(IF(AA31&gt;0,IF(AA31&gt;80000000,(AA31-80000000)*35%+18150000,IF(AA31&gt;52000000,(AA31-52000000)*30%+9750000,IF(AA31&gt;32000000,(AA31-32000000)*25%+4750000,IF(AA31&gt;18000000,(AA31-18000000)*20%+1950000,IF(AA31&gt;10000000,(AA31-10000000)*15%+750000,IF(AA31&gt;5000000,(AA31-5000000)*10%+250000,AA31*5%)))))),0),0)</f>
        <v>0</v>
      </c>
      <c r="AC31" s="5"/>
      <c r="AD31" s="12">
        <f>ROUND(SUM(L31:S31)-SUM(W31:Z31)-AB31+AC31,0)</f>
        <v>628000</v>
      </c>
      <c r="AE31" s="13"/>
      <c r="AF31" s="12">
        <f>SUM(L31:S31)</f>
        <v>1180000</v>
      </c>
      <c r="AG31" s="12">
        <f>SUM(L31+N31)*23.5%</f>
        <v>0</v>
      </c>
      <c r="AH31" s="12">
        <f>SUM(AF31:AG31)</f>
        <v>1180000</v>
      </c>
      <c r="AI31" s="12">
        <f>IF(L31+N31&lt;4800000,4800000,MIN(29800000,L31+N31))</f>
        <v>4800000</v>
      </c>
    </row>
    <row r="32" spans="1:35" ht="15">
      <c r="A32" s="4" t="s">
        <v>175</v>
      </c>
      <c r="B32" s="25" t="s">
        <v>176</v>
      </c>
      <c r="C32" s="25" t="s">
        <v>39</v>
      </c>
      <c r="D32" s="25" t="s">
        <v>177</v>
      </c>
      <c r="E32" s="25" t="s">
        <v>41</v>
      </c>
      <c r="F32" s="25"/>
      <c r="G32" s="25"/>
      <c r="H32" s="25" t="s">
        <v>156</v>
      </c>
      <c r="I32" s="21" t="s">
        <v>178</v>
      </c>
      <c r="J32" s="21" t="s">
        <v>97</v>
      </c>
      <c r="K32" s="5"/>
      <c r="L32" s="6"/>
      <c r="M32" s="5">
        <f>K32-L32</f>
        <v>0</v>
      </c>
      <c r="N32" s="7"/>
      <c r="O32" s="5">
        <v>730000</v>
      </c>
      <c r="P32" s="8"/>
      <c r="Q32" s="7">
        <v>50000</v>
      </c>
      <c r="R32" s="7">
        <v>400000</v>
      </c>
      <c r="S32" s="7"/>
      <c r="T32" s="9">
        <v>11000000</v>
      </c>
      <c r="U32" s="9"/>
      <c r="V32" s="9">
        <f>4400000*U32</f>
        <v>0</v>
      </c>
      <c r="W32" s="10">
        <f>AI32*8%</f>
        <v>384000</v>
      </c>
      <c r="X32" s="10">
        <f>AI32*1.5%</f>
        <v>72000</v>
      </c>
      <c r="Y32" s="10">
        <f>AI32*1%</f>
        <v>48000</v>
      </c>
      <c r="Z32" s="10">
        <f>AI32*1%</f>
        <v>48000</v>
      </c>
      <c r="AA32" s="11">
        <f>SUM(L32:N32)+S32-T32-SUM(V32:Y32)</f>
        <v>-11504000</v>
      </c>
      <c r="AB32" s="5">
        <f>ROUND(IF(AA32&gt;0,IF(AA32&gt;80000000,(AA32-80000000)*35%+18150000,IF(AA32&gt;52000000,(AA32-52000000)*30%+9750000,IF(AA32&gt;32000000,(AA32-32000000)*25%+4750000,IF(AA32&gt;18000000,(AA32-18000000)*20%+1950000,IF(AA32&gt;10000000,(AA32-10000000)*15%+750000,IF(AA32&gt;5000000,(AA32-5000000)*10%+250000,AA32*5%)))))),0),0)</f>
        <v>0</v>
      </c>
      <c r="AC32" s="5"/>
      <c r="AD32" s="12">
        <f>ROUND(SUM(L32:S32)-SUM(W32:Z32)-AB32+AC32,0)</f>
        <v>628000</v>
      </c>
      <c r="AE32" s="13"/>
      <c r="AF32" s="12">
        <f>SUM(L32:S32)</f>
        <v>1180000</v>
      </c>
      <c r="AG32" s="12">
        <f>SUM(L32+N32)*23.5%</f>
        <v>0</v>
      </c>
      <c r="AH32" s="12">
        <f>SUM(AF32:AG32)</f>
        <v>1180000</v>
      </c>
      <c r="AI32" s="12">
        <f>IF(L32+N32&lt;4800000,4800000,MIN(29800000,L32+N32))</f>
        <v>4800000</v>
      </c>
    </row>
    <row r="33" spans="1:35" ht="15">
      <c r="A33" s="4" t="s">
        <v>179</v>
      </c>
      <c r="B33" s="25" t="s">
        <v>180</v>
      </c>
      <c r="C33" s="25" t="s">
        <v>39</v>
      </c>
      <c r="D33" s="25" t="s">
        <v>181</v>
      </c>
      <c r="E33" s="25" t="s">
        <v>41</v>
      </c>
      <c r="F33" s="25"/>
      <c r="G33" s="25"/>
      <c r="H33" s="25" t="s">
        <v>156</v>
      </c>
      <c r="I33" s="21" t="s">
        <v>182</v>
      </c>
      <c r="J33" s="21" t="s">
        <v>97</v>
      </c>
      <c r="K33" s="5"/>
      <c r="L33" s="6"/>
      <c r="M33" s="5">
        <f>K33-L33</f>
        <v>0</v>
      </c>
      <c r="N33" s="7"/>
      <c r="O33" s="5">
        <v>730000</v>
      </c>
      <c r="P33" s="8"/>
      <c r="Q33" s="7">
        <v>50000</v>
      </c>
      <c r="R33" s="7">
        <v>400000</v>
      </c>
      <c r="S33" s="7"/>
      <c r="T33" s="9">
        <v>11000000</v>
      </c>
      <c r="U33" s="9"/>
      <c r="V33" s="9">
        <f>4400000*U33</f>
        <v>0</v>
      </c>
      <c r="W33" s="10">
        <f>AI33*8%</f>
        <v>384000</v>
      </c>
      <c r="X33" s="10">
        <f>AI33*1.5%</f>
        <v>72000</v>
      </c>
      <c r="Y33" s="10">
        <f>AI33*1%</f>
        <v>48000</v>
      </c>
      <c r="Z33" s="10">
        <f>AI33*1%</f>
        <v>48000</v>
      </c>
      <c r="AA33" s="11">
        <f>SUM(L33:N33)+S33-T33-SUM(V33:Y33)</f>
        <v>-11504000</v>
      </c>
      <c r="AB33" s="5">
        <f>ROUND(IF(AA33&gt;0,IF(AA33&gt;80000000,(AA33-80000000)*35%+18150000,IF(AA33&gt;52000000,(AA33-52000000)*30%+9750000,IF(AA33&gt;32000000,(AA33-32000000)*25%+4750000,IF(AA33&gt;18000000,(AA33-18000000)*20%+1950000,IF(AA33&gt;10000000,(AA33-10000000)*15%+750000,IF(AA33&gt;5000000,(AA33-5000000)*10%+250000,AA33*5%)))))),0),0)</f>
        <v>0</v>
      </c>
      <c r="AC33" s="5"/>
      <c r="AD33" s="12">
        <f>ROUND(SUM(L33:S33)-SUM(W33:Z33)-AB33+AC33,0)</f>
        <v>628000</v>
      </c>
      <c r="AE33" s="13"/>
      <c r="AF33" s="12">
        <f>SUM(L33:S33)</f>
        <v>1180000</v>
      </c>
      <c r="AG33" s="12">
        <f>SUM(L33+N33)*23.5%</f>
        <v>0</v>
      </c>
      <c r="AH33" s="12">
        <f>SUM(AF33:AG33)</f>
        <v>1180000</v>
      </c>
      <c r="AI33" s="12">
        <f>IF(L33+N33&lt;4800000,4800000,MIN(29800000,L33+N33))</f>
        <v>4800000</v>
      </c>
    </row>
    <row r="34" spans="1:35" ht="15">
      <c r="A34" s="4" t="s">
        <v>183</v>
      </c>
      <c r="B34" s="25" t="s">
        <v>184</v>
      </c>
      <c r="C34" s="25" t="s">
        <v>39</v>
      </c>
      <c r="D34" s="25" t="s">
        <v>185</v>
      </c>
      <c r="E34" s="25" t="s">
        <v>41</v>
      </c>
      <c r="F34" s="25"/>
      <c r="G34" s="25"/>
      <c r="H34" s="25" t="s">
        <v>156</v>
      </c>
      <c r="I34" s="21" t="s">
        <v>186</v>
      </c>
      <c r="J34" s="21" t="s">
        <v>187</v>
      </c>
      <c r="K34" s="5"/>
      <c r="L34" s="6"/>
      <c r="M34" s="5">
        <f>K34-L34</f>
        <v>0</v>
      </c>
      <c r="N34" s="7"/>
      <c r="O34" s="5">
        <v>730000</v>
      </c>
      <c r="P34" s="8"/>
      <c r="Q34" s="7">
        <v>50000</v>
      </c>
      <c r="R34" s="7">
        <v>400000</v>
      </c>
      <c r="S34" s="7"/>
      <c r="T34" s="9">
        <v>11000000</v>
      </c>
      <c r="U34" s="9"/>
      <c r="V34" s="9">
        <f>4400000*U34</f>
        <v>0</v>
      </c>
      <c r="W34" s="10">
        <f>AI34*8%</f>
        <v>384000</v>
      </c>
      <c r="X34" s="10">
        <f>AI34*1.5%</f>
        <v>72000</v>
      </c>
      <c r="Y34" s="10">
        <f>AI34*1%</f>
        <v>48000</v>
      </c>
      <c r="Z34" s="10">
        <f>AI34*1%</f>
        <v>48000</v>
      </c>
      <c r="AA34" s="11">
        <f>SUM(L34:N34)+S34-T34-SUM(V34:Y34)</f>
        <v>-11504000</v>
      </c>
      <c r="AB34" s="5">
        <f>ROUND(IF(AA34&gt;0,IF(AA34&gt;80000000,(AA34-80000000)*35%+18150000,IF(AA34&gt;52000000,(AA34-52000000)*30%+9750000,IF(AA34&gt;32000000,(AA34-32000000)*25%+4750000,IF(AA34&gt;18000000,(AA34-18000000)*20%+1950000,IF(AA34&gt;10000000,(AA34-10000000)*15%+750000,IF(AA34&gt;5000000,(AA34-5000000)*10%+250000,AA34*5%)))))),0),0)</f>
        <v>0</v>
      </c>
      <c r="AC34" s="5"/>
      <c r="AD34" s="12">
        <f>ROUND(SUM(L34:S34)-SUM(W34:Z34)-AB34+AC34,0)</f>
        <v>628000</v>
      </c>
      <c r="AE34" s="13"/>
      <c r="AF34" s="12">
        <f>SUM(L34:S34)</f>
        <v>1180000</v>
      </c>
      <c r="AG34" s="12">
        <f>SUM(L34+N34)*23.5%</f>
        <v>0</v>
      </c>
      <c r="AH34" s="12">
        <f>SUM(AF34:AG34)</f>
        <v>1180000</v>
      </c>
      <c r="AI34" s="12">
        <f>IF(L34+N34&lt;4800000,4800000,MIN(29800000,L34+N34))</f>
        <v>4800000</v>
      </c>
    </row>
    <row r="35" spans="1:35" ht="15">
      <c r="A35" s="4" t="s">
        <v>188</v>
      </c>
      <c r="B35" s="25" t="s">
        <v>189</v>
      </c>
      <c r="C35" s="25" t="s">
        <v>39</v>
      </c>
      <c r="D35" s="25" t="s">
        <v>190</v>
      </c>
      <c r="E35" s="25" t="s">
        <v>41</v>
      </c>
      <c r="F35" s="25"/>
      <c r="G35" s="25"/>
      <c r="H35" s="25" t="s">
        <v>156</v>
      </c>
      <c r="I35" s="21" t="s">
        <v>191</v>
      </c>
      <c r="J35" s="21" t="s">
        <v>97</v>
      </c>
      <c r="K35" s="5"/>
      <c r="L35" s="6"/>
      <c r="M35" s="5">
        <f>K35-L35</f>
        <v>0</v>
      </c>
      <c r="N35" s="7"/>
      <c r="O35" s="5">
        <v>730000</v>
      </c>
      <c r="P35" s="8"/>
      <c r="Q35" s="7">
        <v>50000</v>
      </c>
      <c r="R35" s="7">
        <v>400000</v>
      </c>
      <c r="S35" s="7"/>
      <c r="T35" s="9">
        <v>11000000</v>
      </c>
      <c r="U35" s="9"/>
      <c r="V35" s="9">
        <f>4400000*U35</f>
        <v>0</v>
      </c>
      <c r="W35" s="10">
        <f>AI35*8%</f>
        <v>384000</v>
      </c>
      <c r="X35" s="10">
        <f>AI35*1.5%</f>
        <v>72000</v>
      </c>
      <c r="Y35" s="10">
        <f>AI35*1%</f>
        <v>48000</v>
      </c>
      <c r="Z35" s="10">
        <f>AI35*1%</f>
        <v>48000</v>
      </c>
      <c r="AA35" s="11">
        <f>SUM(L35:N35)+S35-T35-SUM(V35:Y35)</f>
        <v>-11504000</v>
      </c>
      <c r="AB35" s="5">
        <f>ROUND(IF(AA35&gt;0,IF(AA35&gt;80000000,(AA35-80000000)*35%+18150000,IF(AA35&gt;52000000,(AA35-52000000)*30%+9750000,IF(AA35&gt;32000000,(AA35-32000000)*25%+4750000,IF(AA35&gt;18000000,(AA35-18000000)*20%+1950000,IF(AA35&gt;10000000,(AA35-10000000)*15%+750000,IF(AA35&gt;5000000,(AA35-5000000)*10%+250000,AA35*5%)))))),0),0)</f>
        <v>0</v>
      </c>
      <c r="AC35" s="5"/>
      <c r="AD35" s="12">
        <f>ROUND(SUM(L35:S35)-SUM(W35:Z35)-AB35+AC35,0)</f>
        <v>628000</v>
      </c>
      <c r="AE35" s="13"/>
      <c r="AF35" s="12">
        <f>SUM(L35:S35)</f>
        <v>1180000</v>
      </c>
      <c r="AG35" s="12">
        <f>SUM(L35+N35)*23.5%</f>
        <v>0</v>
      </c>
      <c r="AH35" s="12">
        <f>SUM(AF35:AG35)</f>
        <v>1180000</v>
      </c>
      <c r="AI35" s="12">
        <f>IF(L35+N35&lt;4800000,4800000,MIN(29800000,L35+N35))</f>
        <v>4800000</v>
      </c>
    </row>
    <row r="36" spans="1:35" ht="15">
      <c r="A36" s="4" t="s">
        <v>192</v>
      </c>
      <c r="B36" s="25" t="s">
        <v>193</v>
      </c>
      <c r="C36" s="25" t="s">
        <v>39</v>
      </c>
      <c r="D36" s="25" t="s">
        <v>194</v>
      </c>
      <c r="E36" s="25" t="s">
        <v>41</v>
      </c>
      <c r="F36" s="25"/>
      <c r="G36" s="25"/>
      <c r="H36" s="25" t="s">
        <v>156</v>
      </c>
      <c r="I36" s="21" t="s">
        <v>195</v>
      </c>
      <c r="J36" s="21" t="s">
        <v>97</v>
      </c>
      <c r="K36" s="5"/>
      <c r="L36" s="6"/>
      <c r="M36" s="5">
        <f>K36-L36</f>
        <v>0</v>
      </c>
      <c r="N36" s="7"/>
      <c r="O36" s="5">
        <v>730000</v>
      </c>
      <c r="P36" s="8"/>
      <c r="Q36" s="7">
        <v>50000</v>
      </c>
      <c r="R36" s="7">
        <v>400000</v>
      </c>
      <c r="S36" s="7"/>
      <c r="T36" s="9">
        <v>11000000</v>
      </c>
      <c r="U36" s="9"/>
      <c r="V36" s="9">
        <f>4400000*U36</f>
        <v>0</v>
      </c>
      <c r="W36" s="10">
        <f>AI36*8%</f>
        <v>384000</v>
      </c>
      <c r="X36" s="10">
        <f>AI36*1.5%</f>
        <v>72000</v>
      </c>
      <c r="Y36" s="10">
        <f>AI36*1%</f>
        <v>48000</v>
      </c>
      <c r="Z36" s="10">
        <f>AI36*1%</f>
        <v>48000</v>
      </c>
      <c r="AA36" s="11">
        <f>SUM(L36:N36)+S36-T36-SUM(V36:Y36)</f>
        <v>-11504000</v>
      </c>
      <c r="AB36" s="5">
        <f>ROUND(IF(AA36&gt;0,IF(AA36&gt;80000000,(AA36-80000000)*35%+18150000,IF(AA36&gt;52000000,(AA36-52000000)*30%+9750000,IF(AA36&gt;32000000,(AA36-32000000)*25%+4750000,IF(AA36&gt;18000000,(AA36-18000000)*20%+1950000,IF(AA36&gt;10000000,(AA36-10000000)*15%+750000,IF(AA36&gt;5000000,(AA36-5000000)*10%+250000,AA36*5%)))))),0),0)</f>
        <v>0</v>
      </c>
      <c r="AC36" s="5"/>
      <c r="AD36" s="12">
        <f>ROUND(SUM(L36:S36)-SUM(W36:Z36)-AB36+AC36,0)</f>
        <v>628000</v>
      </c>
      <c r="AE36" s="13"/>
      <c r="AF36" s="12">
        <f>SUM(L36:S36)</f>
        <v>1180000</v>
      </c>
      <c r="AG36" s="12">
        <f>SUM(L36+N36)*23.5%</f>
        <v>0</v>
      </c>
      <c r="AH36" s="12">
        <f>SUM(AF36:AG36)</f>
        <v>1180000</v>
      </c>
      <c r="AI36" s="12">
        <f>IF(L36+N36&lt;4800000,4800000,MIN(29800000,L36+N36))</f>
        <v>4800000</v>
      </c>
    </row>
    <row r="37" spans="1:35" ht="15">
      <c r="A37" s="4" t="s">
        <v>196</v>
      </c>
      <c r="B37" s="25" t="s">
        <v>197</v>
      </c>
      <c r="C37" s="25" t="s">
        <v>39</v>
      </c>
      <c r="D37" s="25" t="s">
        <v>198</v>
      </c>
      <c r="E37" s="25" t="s">
        <v>41</v>
      </c>
      <c r="F37" s="25"/>
      <c r="G37" s="25"/>
      <c r="H37" s="25" t="s">
        <v>199</v>
      </c>
      <c r="I37" s="21" t="s">
        <v>200</v>
      </c>
      <c r="J37" s="21" t="s">
        <v>97</v>
      </c>
      <c r="K37" s="5"/>
      <c r="L37" s="6"/>
      <c r="M37" s="5">
        <f>K37-L37</f>
        <v>0</v>
      </c>
      <c r="N37" s="7"/>
      <c r="O37" s="5">
        <v>730000</v>
      </c>
      <c r="P37" s="8"/>
      <c r="Q37" s="7">
        <v>50000</v>
      </c>
      <c r="R37" s="7">
        <v>400000</v>
      </c>
      <c r="S37" s="7"/>
      <c r="T37" s="9">
        <v>11000000</v>
      </c>
      <c r="U37" s="9"/>
      <c r="V37" s="9">
        <f>4400000*U37</f>
        <v>0</v>
      </c>
      <c r="W37" s="10">
        <f>AI37*8%</f>
        <v>384000</v>
      </c>
      <c r="X37" s="10">
        <f>AI37*1.5%</f>
        <v>72000</v>
      </c>
      <c r="Y37" s="10">
        <f>AI37*1%</f>
        <v>48000</v>
      </c>
      <c r="Z37" s="10">
        <f>AI37*1%</f>
        <v>48000</v>
      </c>
      <c r="AA37" s="11">
        <f>SUM(L37:N37)+S37-T37-SUM(V37:Y37)</f>
        <v>-11504000</v>
      </c>
      <c r="AB37" s="5">
        <f>ROUND(IF(AA37&gt;0,IF(AA37&gt;80000000,(AA37-80000000)*35%+18150000,IF(AA37&gt;52000000,(AA37-52000000)*30%+9750000,IF(AA37&gt;32000000,(AA37-32000000)*25%+4750000,IF(AA37&gt;18000000,(AA37-18000000)*20%+1950000,IF(AA37&gt;10000000,(AA37-10000000)*15%+750000,IF(AA37&gt;5000000,(AA37-5000000)*10%+250000,AA37*5%)))))),0),0)</f>
        <v>0</v>
      </c>
      <c r="AC37" s="5"/>
      <c r="AD37" s="12">
        <f>ROUND(SUM(L37:S37)-SUM(W37:Z37)-AB37+AC37,0)</f>
        <v>628000</v>
      </c>
      <c r="AE37" s="13"/>
      <c r="AF37" s="12">
        <f>SUM(L37:S37)</f>
        <v>1180000</v>
      </c>
      <c r="AG37" s="12">
        <f>SUM(L37+N37)*23.5%</f>
        <v>0</v>
      </c>
      <c r="AH37" s="12">
        <f>SUM(AF37:AG37)</f>
        <v>1180000</v>
      </c>
      <c r="AI37" s="12">
        <f>IF(L37+N37&lt;4800000,4800000,MIN(29800000,L37+N37))</f>
        <v>4800000</v>
      </c>
    </row>
    <row r="38" spans="1:35" ht="15">
      <c r="A38" s="4" t="s">
        <v>201</v>
      </c>
      <c r="B38" s="25" t="s">
        <v>202</v>
      </c>
      <c r="C38" s="25" t="s">
        <v>39</v>
      </c>
      <c r="D38" s="25" t="s">
        <v>203</v>
      </c>
      <c r="E38" s="25" t="s">
        <v>41</v>
      </c>
      <c r="F38" s="25"/>
      <c r="G38" s="25"/>
      <c r="H38" s="25" t="s">
        <v>199</v>
      </c>
      <c r="I38" s="21" t="s">
        <v>204</v>
      </c>
      <c r="J38" s="21" t="s">
        <v>97</v>
      </c>
      <c r="K38" s="5"/>
      <c r="L38" s="6"/>
      <c r="M38" s="5">
        <f>K38-L38</f>
        <v>0</v>
      </c>
      <c r="N38" s="7"/>
      <c r="O38" s="5">
        <v>730000</v>
      </c>
      <c r="P38" s="8"/>
      <c r="Q38" s="7">
        <v>50000</v>
      </c>
      <c r="R38" s="7">
        <v>400000</v>
      </c>
      <c r="S38" s="7"/>
      <c r="T38" s="9">
        <v>11000000</v>
      </c>
      <c r="U38" s="9"/>
      <c r="V38" s="9">
        <f>4400000*U38</f>
        <v>0</v>
      </c>
      <c r="W38" s="10">
        <f>AI38*8%</f>
        <v>384000</v>
      </c>
      <c r="X38" s="10">
        <f>AI38*1.5%</f>
        <v>72000</v>
      </c>
      <c r="Y38" s="10">
        <f>AI38*1%</f>
        <v>48000</v>
      </c>
      <c r="Z38" s="10">
        <f>AI38*1%</f>
        <v>48000</v>
      </c>
      <c r="AA38" s="11">
        <f>SUM(L38:N38)+S38-T38-SUM(V38:Y38)</f>
        <v>-11504000</v>
      </c>
      <c r="AB38" s="5">
        <f>ROUND(IF(AA38&gt;0,IF(AA38&gt;80000000,(AA38-80000000)*35%+18150000,IF(AA38&gt;52000000,(AA38-52000000)*30%+9750000,IF(AA38&gt;32000000,(AA38-32000000)*25%+4750000,IF(AA38&gt;18000000,(AA38-18000000)*20%+1950000,IF(AA38&gt;10000000,(AA38-10000000)*15%+750000,IF(AA38&gt;5000000,(AA38-5000000)*10%+250000,AA38*5%)))))),0),0)</f>
        <v>0</v>
      </c>
      <c r="AC38" s="5"/>
      <c r="AD38" s="12">
        <f>ROUND(SUM(L38:S38)-SUM(W38:Z38)-AB38+AC38,0)</f>
        <v>628000</v>
      </c>
      <c r="AE38" s="13"/>
      <c r="AF38" s="12">
        <f>SUM(L38:S38)</f>
        <v>1180000</v>
      </c>
      <c r="AG38" s="12">
        <f>SUM(L38+N38)*23.5%</f>
        <v>0</v>
      </c>
      <c r="AH38" s="12">
        <f>SUM(AF38:AG38)</f>
        <v>1180000</v>
      </c>
      <c r="AI38" s="12">
        <f>IF(L38+N38&lt;4800000,4800000,MIN(29800000,L38+N38))</f>
        <v>4800000</v>
      </c>
    </row>
    <row r="39" spans="1:35" ht="15">
      <c r="A39" s="4" t="s">
        <v>205</v>
      </c>
      <c r="B39" s="25" t="s">
        <v>206</v>
      </c>
      <c r="C39" s="25" t="s">
        <v>39</v>
      </c>
      <c r="D39" s="25" t="s">
        <v>207</v>
      </c>
      <c r="E39" s="25" t="s">
        <v>41</v>
      </c>
      <c r="F39" s="25"/>
      <c r="G39" s="25"/>
      <c r="H39" s="25" t="s">
        <v>199</v>
      </c>
      <c r="I39" s="21" t="s">
        <v>208</v>
      </c>
      <c r="J39" s="21" t="s">
        <v>97</v>
      </c>
      <c r="K39" s="5"/>
      <c r="L39" s="6"/>
      <c r="M39" s="5">
        <f>K39-L39</f>
        <v>0</v>
      </c>
      <c r="N39" s="7"/>
      <c r="O39" s="5">
        <v>730000</v>
      </c>
      <c r="P39" s="8"/>
      <c r="Q39" s="7">
        <v>50000</v>
      </c>
      <c r="R39" s="7">
        <v>400000</v>
      </c>
      <c r="S39" s="7"/>
      <c r="T39" s="9">
        <v>11000000</v>
      </c>
      <c r="U39" s="9"/>
      <c r="V39" s="9">
        <f>4400000*U39</f>
        <v>0</v>
      </c>
      <c r="W39" s="10">
        <f>AI39*8%</f>
        <v>384000</v>
      </c>
      <c r="X39" s="10">
        <f>AI39*1.5%</f>
        <v>72000</v>
      </c>
      <c r="Y39" s="10">
        <f>AI39*1%</f>
        <v>48000</v>
      </c>
      <c r="Z39" s="10">
        <f>AI39*1%</f>
        <v>48000</v>
      </c>
      <c r="AA39" s="11">
        <f>SUM(L39:N39)+S39-T39-SUM(V39:Y39)</f>
        <v>-11504000</v>
      </c>
      <c r="AB39" s="5">
        <f>ROUND(IF(AA39&gt;0,IF(AA39&gt;80000000,(AA39-80000000)*35%+18150000,IF(AA39&gt;52000000,(AA39-52000000)*30%+9750000,IF(AA39&gt;32000000,(AA39-32000000)*25%+4750000,IF(AA39&gt;18000000,(AA39-18000000)*20%+1950000,IF(AA39&gt;10000000,(AA39-10000000)*15%+750000,IF(AA39&gt;5000000,(AA39-5000000)*10%+250000,AA39*5%)))))),0),0)</f>
        <v>0</v>
      </c>
      <c r="AC39" s="5"/>
      <c r="AD39" s="12">
        <f>ROUND(SUM(L39:S39)-SUM(W39:Z39)-AB39+AC39,0)</f>
        <v>628000</v>
      </c>
      <c r="AE39" s="13"/>
      <c r="AF39" s="12">
        <f>SUM(L39:S39)</f>
        <v>1180000</v>
      </c>
      <c r="AG39" s="12">
        <f>SUM(L39+N39)*23.5%</f>
        <v>0</v>
      </c>
      <c r="AH39" s="12">
        <f>SUM(AF39:AG39)</f>
        <v>1180000</v>
      </c>
      <c r="AI39" s="12">
        <f>IF(L39+N39&lt;4800000,4800000,MIN(29800000,L39+N39))</f>
        <v>4800000</v>
      </c>
    </row>
    <row r="40" spans="1:35" ht="15">
      <c r="A40" s="4" t="s">
        <v>209</v>
      </c>
      <c r="B40" s="25" t="s">
        <v>210</v>
      </c>
      <c r="C40" s="25" t="s">
        <v>39</v>
      </c>
      <c r="D40" s="25" t="s">
        <v>211</v>
      </c>
      <c r="E40" s="25" t="s">
        <v>41</v>
      </c>
      <c r="F40" s="25"/>
      <c r="G40" s="25"/>
      <c r="H40" s="25" t="s">
        <v>199</v>
      </c>
      <c r="I40" s="21" t="s">
        <v>212</v>
      </c>
      <c r="J40" s="21" t="s">
        <v>97</v>
      </c>
      <c r="K40" s="5"/>
      <c r="L40" s="6"/>
      <c r="M40" s="5">
        <f>K40-L40</f>
        <v>0</v>
      </c>
      <c r="N40" s="7"/>
      <c r="O40" s="5">
        <v>730000</v>
      </c>
      <c r="P40" s="8"/>
      <c r="Q40" s="7">
        <v>50000</v>
      </c>
      <c r="R40" s="7">
        <v>400000</v>
      </c>
      <c r="S40" s="7"/>
      <c r="T40" s="9">
        <v>11000000</v>
      </c>
      <c r="U40" s="9"/>
      <c r="V40" s="9">
        <f>4400000*U40</f>
        <v>0</v>
      </c>
      <c r="W40" s="10">
        <f>AI40*8%</f>
        <v>384000</v>
      </c>
      <c r="X40" s="10">
        <f>AI40*1.5%</f>
        <v>72000</v>
      </c>
      <c r="Y40" s="10">
        <f>AI40*1%</f>
        <v>48000</v>
      </c>
      <c r="Z40" s="10">
        <f>AI40*1%</f>
        <v>48000</v>
      </c>
      <c r="AA40" s="11">
        <f>SUM(L40:N40)+S40-T40-SUM(V40:Y40)</f>
        <v>-11504000</v>
      </c>
      <c r="AB40" s="5">
        <f>ROUND(IF(AA40&gt;0,IF(AA40&gt;80000000,(AA40-80000000)*35%+18150000,IF(AA40&gt;52000000,(AA40-52000000)*30%+9750000,IF(AA40&gt;32000000,(AA40-32000000)*25%+4750000,IF(AA40&gt;18000000,(AA40-18000000)*20%+1950000,IF(AA40&gt;10000000,(AA40-10000000)*15%+750000,IF(AA40&gt;5000000,(AA40-5000000)*10%+250000,AA40*5%)))))),0),0)</f>
        <v>0</v>
      </c>
      <c r="AC40" s="5"/>
      <c r="AD40" s="12">
        <f>ROUND(SUM(L40:S40)-SUM(W40:Z40)-AB40+AC40,0)</f>
        <v>628000</v>
      </c>
      <c r="AE40" s="13"/>
      <c r="AF40" s="12">
        <f>SUM(L40:S40)</f>
        <v>1180000</v>
      </c>
      <c r="AG40" s="12">
        <f>SUM(L40+N40)*23.5%</f>
        <v>0</v>
      </c>
      <c r="AH40" s="12">
        <f>SUM(AF40:AG40)</f>
        <v>1180000</v>
      </c>
      <c r="AI40" s="12">
        <f>IF(L40+N40&lt;4800000,4800000,MIN(29800000,L40+N40))</f>
        <v>4800000</v>
      </c>
    </row>
    <row r="41" spans="1:35" ht="15">
      <c r="A41" s="4" t="s">
        <v>213</v>
      </c>
      <c r="B41" s="25" t="s">
        <v>214</v>
      </c>
      <c r="C41" s="25" t="s">
        <v>39</v>
      </c>
      <c r="D41" s="25" t="s">
        <v>215</v>
      </c>
      <c r="E41" s="25" t="s">
        <v>41</v>
      </c>
      <c r="F41" s="25"/>
      <c r="G41" s="25"/>
      <c r="H41" s="25" t="s">
        <v>199</v>
      </c>
      <c r="I41" s="21" t="s">
        <v>216</v>
      </c>
      <c r="J41" s="21" t="s">
        <v>60</v>
      </c>
      <c r="K41" s="5"/>
      <c r="L41" s="6"/>
      <c r="M41" s="5">
        <f>K41-L41</f>
        <v>0</v>
      </c>
      <c r="N41" s="7"/>
      <c r="O41" s="5">
        <v>730000</v>
      </c>
      <c r="P41" s="8"/>
      <c r="Q41" s="7">
        <v>50000</v>
      </c>
      <c r="R41" s="7">
        <v>400000</v>
      </c>
      <c r="S41" s="7"/>
      <c r="T41" s="9">
        <v>11000000</v>
      </c>
      <c r="U41" s="9"/>
      <c r="V41" s="9">
        <f>4400000*U41</f>
        <v>0</v>
      </c>
      <c r="W41" s="10">
        <f>AI41*8%</f>
        <v>384000</v>
      </c>
      <c r="X41" s="10">
        <f>AI41*1.5%</f>
        <v>72000</v>
      </c>
      <c r="Y41" s="10">
        <f>AI41*1%</f>
        <v>48000</v>
      </c>
      <c r="Z41" s="10">
        <f>AI41*1%</f>
        <v>48000</v>
      </c>
      <c r="AA41" s="11">
        <f>SUM(L41:N41)+S41-T41-SUM(V41:Y41)</f>
        <v>-11504000</v>
      </c>
      <c r="AB41" s="5">
        <f>ROUND(IF(AA41&gt;0,IF(AA41&gt;80000000,(AA41-80000000)*35%+18150000,IF(AA41&gt;52000000,(AA41-52000000)*30%+9750000,IF(AA41&gt;32000000,(AA41-32000000)*25%+4750000,IF(AA41&gt;18000000,(AA41-18000000)*20%+1950000,IF(AA41&gt;10000000,(AA41-10000000)*15%+750000,IF(AA41&gt;5000000,(AA41-5000000)*10%+250000,AA41*5%)))))),0),0)</f>
        <v>0</v>
      </c>
      <c r="AC41" s="5"/>
      <c r="AD41" s="12">
        <f>ROUND(SUM(L41:S41)-SUM(W41:Z41)-AB41+AC41,0)</f>
        <v>628000</v>
      </c>
      <c r="AE41" s="13"/>
      <c r="AF41" s="12">
        <f>SUM(L41:S41)</f>
        <v>1180000</v>
      </c>
      <c r="AG41" s="12">
        <f>SUM(L41+N41)*23.5%</f>
        <v>0</v>
      </c>
      <c r="AH41" s="12">
        <f>SUM(AF41:AG41)</f>
        <v>1180000</v>
      </c>
      <c r="AI41" s="12">
        <f>IF(L41+N41&lt;4800000,4800000,MIN(29800000,L41+N41))</f>
        <v>4800000</v>
      </c>
    </row>
    <row r="42" spans="1:35" ht="15">
      <c r="A42" s="4" t="s">
        <v>217</v>
      </c>
      <c r="B42" s="25" t="s">
        <v>218</v>
      </c>
      <c r="C42" s="25" t="s">
        <v>39</v>
      </c>
      <c r="D42" s="25" t="s">
        <v>219</v>
      </c>
      <c r="E42" s="25" t="s">
        <v>41</v>
      </c>
      <c r="F42" s="25"/>
      <c r="G42" s="25"/>
      <c r="H42" s="25" t="s">
        <v>199</v>
      </c>
      <c r="I42" s="21" t="s">
        <v>220</v>
      </c>
      <c r="J42" s="21" t="s">
        <v>97</v>
      </c>
      <c r="K42" s="5"/>
      <c r="L42" s="6"/>
      <c r="M42" s="5">
        <f>K42-L42</f>
        <v>0</v>
      </c>
      <c r="N42" s="7"/>
      <c r="O42" s="5">
        <v>730000</v>
      </c>
      <c r="P42" s="8"/>
      <c r="Q42" s="7">
        <v>50000</v>
      </c>
      <c r="R42" s="7">
        <v>400000</v>
      </c>
      <c r="S42" s="7"/>
      <c r="T42" s="9">
        <v>11000000</v>
      </c>
      <c r="U42" s="9"/>
      <c r="V42" s="9">
        <f>4400000*U42</f>
        <v>0</v>
      </c>
      <c r="W42" s="10">
        <f>AI42*8%</f>
        <v>384000</v>
      </c>
      <c r="X42" s="10">
        <f>AI42*1.5%</f>
        <v>72000</v>
      </c>
      <c r="Y42" s="10">
        <f>AI42*1%</f>
        <v>48000</v>
      </c>
      <c r="Z42" s="10">
        <f>AI42*1%</f>
        <v>48000</v>
      </c>
      <c r="AA42" s="11">
        <f>SUM(L42:N42)+S42-T42-SUM(V42:Y42)</f>
        <v>-11504000</v>
      </c>
      <c r="AB42" s="5">
        <f>ROUND(IF(AA42&gt;0,IF(AA42&gt;80000000,(AA42-80000000)*35%+18150000,IF(AA42&gt;52000000,(AA42-52000000)*30%+9750000,IF(AA42&gt;32000000,(AA42-32000000)*25%+4750000,IF(AA42&gt;18000000,(AA42-18000000)*20%+1950000,IF(AA42&gt;10000000,(AA42-10000000)*15%+750000,IF(AA42&gt;5000000,(AA42-5000000)*10%+250000,AA42*5%)))))),0),0)</f>
        <v>0</v>
      </c>
      <c r="AC42" s="5"/>
      <c r="AD42" s="12">
        <f>ROUND(SUM(L42:S42)-SUM(W42:Z42)-AB42+AC42,0)</f>
        <v>628000</v>
      </c>
      <c r="AE42" s="13"/>
      <c r="AF42" s="12">
        <f>SUM(L42:S42)</f>
        <v>1180000</v>
      </c>
      <c r="AG42" s="12">
        <f>SUM(L42+N42)*23.5%</f>
        <v>0</v>
      </c>
      <c r="AH42" s="12">
        <f>SUM(AF42:AG42)</f>
        <v>1180000</v>
      </c>
      <c r="AI42" s="12">
        <f>IF(L42+N42&lt;4800000,4800000,MIN(29800000,L42+N42))</f>
        <v>4800000</v>
      </c>
    </row>
    <row r="43" spans="1:35" ht="15">
      <c r="A43" s="4" t="s">
        <v>221</v>
      </c>
      <c r="B43" s="25" t="s">
        <v>222</v>
      </c>
      <c r="C43" s="25" t="s">
        <v>39</v>
      </c>
      <c r="D43" s="25" t="s">
        <v>223</v>
      </c>
      <c r="E43" s="25" t="s">
        <v>41</v>
      </c>
      <c r="F43" s="25"/>
      <c r="G43" s="25"/>
      <c r="H43" s="25" t="s">
        <v>199</v>
      </c>
      <c r="I43" s="21" t="s">
        <v>224</v>
      </c>
      <c r="J43" s="21" t="s">
        <v>97</v>
      </c>
      <c r="K43" s="5"/>
      <c r="L43" s="6"/>
      <c r="M43" s="5">
        <f>K43-L43</f>
        <v>0</v>
      </c>
      <c r="N43" s="7"/>
      <c r="O43" s="5">
        <v>730000</v>
      </c>
      <c r="P43" s="8"/>
      <c r="Q43" s="7">
        <v>50000</v>
      </c>
      <c r="R43" s="7">
        <v>400000</v>
      </c>
      <c r="S43" s="7"/>
      <c r="T43" s="9">
        <v>11000000</v>
      </c>
      <c r="U43" s="9"/>
      <c r="V43" s="9">
        <f>4400000*U43</f>
        <v>0</v>
      </c>
      <c r="W43" s="10">
        <f>AI43*8%</f>
        <v>384000</v>
      </c>
      <c r="X43" s="10">
        <f>AI43*1.5%</f>
        <v>72000</v>
      </c>
      <c r="Y43" s="10">
        <f>AI43*1%</f>
        <v>48000</v>
      </c>
      <c r="Z43" s="10">
        <f>AI43*1%</f>
        <v>48000</v>
      </c>
      <c r="AA43" s="11">
        <f>SUM(L43:N43)+S43-T43-SUM(V43:Y43)</f>
        <v>-11504000</v>
      </c>
      <c r="AB43" s="5">
        <f>ROUND(IF(AA43&gt;0,IF(AA43&gt;80000000,(AA43-80000000)*35%+18150000,IF(AA43&gt;52000000,(AA43-52000000)*30%+9750000,IF(AA43&gt;32000000,(AA43-32000000)*25%+4750000,IF(AA43&gt;18000000,(AA43-18000000)*20%+1950000,IF(AA43&gt;10000000,(AA43-10000000)*15%+750000,IF(AA43&gt;5000000,(AA43-5000000)*10%+250000,AA43*5%)))))),0),0)</f>
        <v>0</v>
      </c>
      <c r="AC43" s="5"/>
      <c r="AD43" s="12">
        <f>ROUND(SUM(L43:S43)-SUM(W43:Z43)-AB43+AC43,0)</f>
        <v>628000</v>
      </c>
      <c r="AE43" s="13"/>
      <c r="AF43" s="12">
        <f>SUM(L43:S43)</f>
        <v>1180000</v>
      </c>
      <c r="AG43" s="12">
        <f>SUM(L43+N43)*23.5%</f>
        <v>0</v>
      </c>
      <c r="AH43" s="12">
        <f>SUM(AF43:AG43)</f>
        <v>1180000</v>
      </c>
      <c r="AI43" s="12">
        <f>IF(L43+N43&lt;4800000,4800000,MIN(29800000,L43+N43))</f>
        <v>4800000</v>
      </c>
    </row>
    <row r="44" spans="1:35" ht="15">
      <c r="A44" s="4" t="s">
        <v>225</v>
      </c>
      <c r="B44" s="25" t="s">
        <v>226</v>
      </c>
      <c r="C44" s="25" t="s">
        <v>39</v>
      </c>
      <c r="D44" s="25" t="s">
        <v>227</v>
      </c>
      <c r="E44" s="25" t="s">
        <v>41</v>
      </c>
      <c r="F44" s="25"/>
      <c r="G44" s="25"/>
      <c r="H44" s="25" t="s">
        <v>199</v>
      </c>
      <c r="I44" s="21" t="s">
        <v>228</v>
      </c>
      <c r="J44" s="21" t="s">
        <v>97</v>
      </c>
      <c r="K44" s="5"/>
      <c r="L44" s="6"/>
      <c r="M44" s="5">
        <f>K44-L44</f>
        <v>0</v>
      </c>
      <c r="N44" s="7"/>
      <c r="O44" s="5">
        <v>730000</v>
      </c>
      <c r="P44" s="8"/>
      <c r="Q44" s="7">
        <v>50000</v>
      </c>
      <c r="R44" s="7">
        <v>400000</v>
      </c>
      <c r="S44" s="7"/>
      <c r="T44" s="9">
        <v>11000000</v>
      </c>
      <c r="U44" s="9"/>
      <c r="V44" s="9">
        <f>4400000*U44</f>
        <v>0</v>
      </c>
      <c r="W44" s="10">
        <f>AI44*8%</f>
        <v>384000</v>
      </c>
      <c r="X44" s="10">
        <f>AI44*1.5%</f>
        <v>72000</v>
      </c>
      <c r="Y44" s="10">
        <f>AI44*1%</f>
        <v>48000</v>
      </c>
      <c r="Z44" s="10">
        <f>AI44*1%</f>
        <v>48000</v>
      </c>
      <c r="AA44" s="11">
        <f>SUM(L44:N44)+S44-T44-SUM(V44:Y44)</f>
        <v>-11504000</v>
      </c>
      <c r="AB44" s="5">
        <f>ROUND(IF(AA44&gt;0,IF(AA44&gt;80000000,(AA44-80000000)*35%+18150000,IF(AA44&gt;52000000,(AA44-52000000)*30%+9750000,IF(AA44&gt;32000000,(AA44-32000000)*25%+4750000,IF(AA44&gt;18000000,(AA44-18000000)*20%+1950000,IF(AA44&gt;10000000,(AA44-10000000)*15%+750000,IF(AA44&gt;5000000,(AA44-5000000)*10%+250000,AA44*5%)))))),0),0)</f>
        <v>0</v>
      </c>
      <c r="AC44" s="5"/>
      <c r="AD44" s="12">
        <f>ROUND(SUM(L44:S44)-SUM(W44:Z44)-AB44+AC44,0)</f>
        <v>628000</v>
      </c>
      <c r="AE44" s="13"/>
      <c r="AF44" s="12">
        <f>SUM(L44:S44)</f>
        <v>1180000</v>
      </c>
      <c r="AG44" s="12">
        <f>SUM(L44+N44)*23.5%</f>
        <v>0</v>
      </c>
      <c r="AH44" s="12">
        <f>SUM(AF44:AG44)</f>
        <v>1180000</v>
      </c>
      <c r="AI44" s="12">
        <f>IF(L44+N44&lt;4800000,4800000,MIN(29800000,L44+N44))</f>
        <v>4800000</v>
      </c>
    </row>
    <row r="45" spans="1:35" ht="15">
      <c r="A45" s="4" t="s">
        <v>229</v>
      </c>
      <c r="B45" s="25" t="s">
        <v>230</v>
      </c>
      <c r="C45" s="25" t="s">
        <v>39</v>
      </c>
      <c r="D45" s="25" t="s">
        <v>231</v>
      </c>
      <c r="E45" s="25" t="s">
        <v>41</v>
      </c>
      <c r="F45" s="25"/>
      <c r="G45" s="25"/>
      <c r="H45" s="25" t="s">
        <v>199</v>
      </c>
      <c r="I45" s="21" t="s">
        <v>232</v>
      </c>
      <c r="J45" s="21" t="s">
        <v>162</v>
      </c>
      <c r="K45" s="5"/>
      <c r="L45" s="6"/>
      <c r="M45" s="5">
        <f>K45-L45</f>
        <v>0</v>
      </c>
      <c r="N45" s="7"/>
      <c r="O45" s="5">
        <v>730000</v>
      </c>
      <c r="P45" s="8"/>
      <c r="Q45" s="7">
        <v>50000</v>
      </c>
      <c r="R45" s="7">
        <v>400000</v>
      </c>
      <c r="S45" s="7"/>
      <c r="T45" s="9">
        <v>11000000</v>
      </c>
      <c r="U45" s="9"/>
      <c r="V45" s="9">
        <f>4400000*U45</f>
        <v>0</v>
      </c>
      <c r="W45" s="10">
        <f>AI45*8%</f>
        <v>384000</v>
      </c>
      <c r="X45" s="10">
        <f>AI45*1.5%</f>
        <v>72000</v>
      </c>
      <c r="Y45" s="10">
        <f>AI45*1%</f>
        <v>48000</v>
      </c>
      <c r="Z45" s="10">
        <f>AI45*1%</f>
        <v>48000</v>
      </c>
      <c r="AA45" s="11">
        <f>SUM(L45:N45)+S45-T45-SUM(V45:Y45)</f>
        <v>-11504000</v>
      </c>
      <c r="AB45" s="5">
        <f>ROUND(IF(AA45&gt;0,IF(AA45&gt;80000000,(AA45-80000000)*35%+18150000,IF(AA45&gt;52000000,(AA45-52000000)*30%+9750000,IF(AA45&gt;32000000,(AA45-32000000)*25%+4750000,IF(AA45&gt;18000000,(AA45-18000000)*20%+1950000,IF(AA45&gt;10000000,(AA45-10000000)*15%+750000,IF(AA45&gt;5000000,(AA45-5000000)*10%+250000,AA45*5%)))))),0),0)</f>
        <v>0</v>
      </c>
      <c r="AC45" s="5"/>
      <c r="AD45" s="12">
        <f>ROUND(SUM(L45:S45)-SUM(W45:Z45)-AB45+AC45,0)</f>
        <v>628000</v>
      </c>
      <c r="AE45" s="13"/>
      <c r="AF45" s="12">
        <f>SUM(L45:S45)</f>
        <v>1180000</v>
      </c>
      <c r="AG45" s="12">
        <f>SUM(L45+N45)*23.5%</f>
        <v>0</v>
      </c>
      <c r="AH45" s="12">
        <f>SUM(AF45:AG45)</f>
        <v>1180000</v>
      </c>
      <c r="AI45" s="12">
        <f>IF(L45+N45&lt;4800000,4800000,MIN(29800000,L45+N45))</f>
        <v>4800000</v>
      </c>
    </row>
    <row r="46" spans="1:35" ht="15">
      <c r="A46" s="4" t="s">
        <v>233</v>
      </c>
      <c r="B46" s="25" t="s">
        <v>234</v>
      </c>
      <c r="C46" s="25" t="s">
        <v>39</v>
      </c>
      <c r="D46" s="25" t="s">
        <v>235</v>
      </c>
      <c r="E46" s="25" t="s">
        <v>41</v>
      </c>
      <c r="F46" s="25"/>
      <c r="G46" s="25"/>
      <c r="H46" s="25" t="s">
        <v>236</v>
      </c>
      <c r="I46" s="21" t="s">
        <v>237</v>
      </c>
      <c r="J46" s="21" t="s">
        <v>97</v>
      </c>
      <c r="K46" s="5"/>
      <c r="L46" s="6"/>
      <c r="M46" s="5">
        <f>K46-L46</f>
        <v>0</v>
      </c>
      <c r="N46" s="7"/>
      <c r="O46" s="5">
        <v>730000</v>
      </c>
      <c r="P46" s="8"/>
      <c r="Q46" s="7">
        <v>50000</v>
      </c>
      <c r="R46" s="7">
        <v>400000</v>
      </c>
      <c r="S46" s="7"/>
      <c r="T46" s="9">
        <v>11000000</v>
      </c>
      <c r="U46" s="9"/>
      <c r="V46" s="9">
        <f>4400000*U46</f>
        <v>0</v>
      </c>
      <c r="W46" s="10">
        <f>AI46*8%</f>
        <v>384000</v>
      </c>
      <c r="X46" s="10">
        <f>AI46*1.5%</f>
        <v>72000</v>
      </c>
      <c r="Y46" s="10">
        <f>AI46*1%</f>
        <v>48000</v>
      </c>
      <c r="Z46" s="10">
        <f>AI46*1%</f>
        <v>48000</v>
      </c>
      <c r="AA46" s="11">
        <f>SUM(L46:N46)+S46-T46-SUM(V46:Y46)</f>
        <v>-11504000</v>
      </c>
      <c r="AB46" s="5">
        <f>ROUND(IF(AA46&gt;0,IF(AA46&gt;80000000,(AA46-80000000)*35%+18150000,IF(AA46&gt;52000000,(AA46-52000000)*30%+9750000,IF(AA46&gt;32000000,(AA46-32000000)*25%+4750000,IF(AA46&gt;18000000,(AA46-18000000)*20%+1950000,IF(AA46&gt;10000000,(AA46-10000000)*15%+750000,IF(AA46&gt;5000000,(AA46-5000000)*10%+250000,AA46*5%)))))),0),0)</f>
        <v>0</v>
      </c>
      <c r="AC46" s="5"/>
      <c r="AD46" s="12">
        <f>ROUND(SUM(L46:S46)-SUM(W46:Z46)-AB46+AC46,0)</f>
        <v>628000</v>
      </c>
      <c r="AE46" s="13"/>
      <c r="AF46" s="12">
        <f>SUM(L46:S46)</f>
        <v>1180000</v>
      </c>
      <c r="AG46" s="12">
        <f>SUM(L46+N46)*23.5%</f>
        <v>0</v>
      </c>
      <c r="AH46" s="12">
        <f>SUM(AF46:AG46)</f>
        <v>1180000</v>
      </c>
      <c r="AI46" s="12">
        <f>IF(L46+N46&lt;4800000,4800000,MIN(29800000,L46+N46))</f>
        <v>4800000</v>
      </c>
    </row>
    <row r="47" spans="1:35" ht="15">
      <c r="A47" s="4" t="s">
        <v>238</v>
      </c>
      <c r="B47" s="25" t="s">
        <v>239</v>
      </c>
      <c r="C47" s="25" t="s">
        <v>39</v>
      </c>
      <c r="D47" s="25" t="s">
        <v>240</v>
      </c>
      <c r="E47" s="25" t="s">
        <v>41</v>
      </c>
      <c r="F47" s="25"/>
      <c r="G47" s="25"/>
      <c r="H47" s="25" t="s">
        <v>236</v>
      </c>
      <c r="I47" s="21" t="s">
        <v>241</v>
      </c>
      <c r="J47" s="21" t="s">
        <v>97</v>
      </c>
      <c r="K47" s="5"/>
      <c r="L47" s="6"/>
      <c r="M47" s="5">
        <f>K47-L47</f>
        <v>0</v>
      </c>
      <c r="N47" s="7"/>
      <c r="O47" s="5">
        <v>730000</v>
      </c>
      <c r="P47" s="8"/>
      <c r="Q47" s="7">
        <v>50000</v>
      </c>
      <c r="R47" s="7">
        <v>400000</v>
      </c>
      <c r="S47" s="7"/>
      <c r="T47" s="9">
        <v>11000000</v>
      </c>
      <c r="U47" s="9"/>
      <c r="V47" s="9">
        <f>4400000*U47</f>
        <v>0</v>
      </c>
      <c r="W47" s="10">
        <f>AI47*8%</f>
        <v>384000</v>
      </c>
      <c r="X47" s="10">
        <f>AI47*1.5%</f>
        <v>72000</v>
      </c>
      <c r="Y47" s="10">
        <f>AI47*1%</f>
        <v>48000</v>
      </c>
      <c r="Z47" s="10">
        <f>AI47*1%</f>
        <v>48000</v>
      </c>
      <c r="AA47" s="11">
        <f>SUM(L47:N47)+S47-T47-SUM(V47:Y47)</f>
        <v>-11504000</v>
      </c>
      <c r="AB47" s="5">
        <f>ROUND(IF(AA47&gt;0,IF(AA47&gt;80000000,(AA47-80000000)*35%+18150000,IF(AA47&gt;52000000,(AA47-52000000)*30%+9750000,IF(AA47&gt;32000000,(AA47-32000000)*25%+4750000,IF(AA47&gt;18000000,(AA47-18000000)*20%+1950000,IF(AA47&gt;10000000,(AA47-10000000)*15%+750000,IF(AA47&gt;5000000,(AA47-5000000)*10%+250000,AA47*5%)))))),0),0)</f>
        <v>0</v>
      </c>
      <c r="AC47" s="5"/>
      <c r="AD47" s="12">
        <f>ROUND(SUM(L47:S47)-SUM(W47:Z47)-AB47+AC47,0)</f>
        <v>628000</v>
      </c>
      <c r="AE47" s="13"/>
      <c r="AF47" s="12">
        <f>SUM(L47:S47)</f>
        <v>1180000</v>
      </c>
      <c r="AG47" s="12">
        <f>SUM(L47+N47)*23.5%</f>
        <v>0</v>
      </c>
      <c r="AH47" s="12">
        <f>SUM(AF47:AG47)</f>
        <v>1180000</v>
      </c>
      <c r="AI47" s="12">
        <f>IF(L47+N47&lt;4800000,4800000,MIN(29800000,L47+N47))</f>
        <v>4800000</v>
      </c>
    </row>
    <row r="48" spans="1:35" ht="15">
      <c r="A48" s="4" t="s">
        <v>242</v>
      </c>
      <c r="B48" s="25" t="s">
        <v>243</v>
      </c>
      <c r="C48" s="25" t="s">
        <v>39</v>
      </c>
      <c r="D48" s="25" t="s">
        <v>244</v>
      </c>
      <c r="E48" s="25" t="s">
        <v>41</v>
      </c>
      <c r="F48" s="25"/>
      <c r="G48" s="25"/>
      <c r="H48" s="25" t="s">
        <v>236</v>
      </c>
      <c r="I48" s="21" t="s">
        <v>245</v>
      </c>
      <c r="J48" s="21" t="s">
        <v>97</v>
      </c>
      <c r="K48" s="5"/>
      <c r="L48" s="6"/>
      <c r="M48" s="5">
        <f>K48-L48</f>
        <v>0</v>
      </c>
      <c r="N48" s="7"/>
      <c r="O48" s="5">
        <v>730000</v>
      </c>
      <c r="P48" s="8"/>
      <c r="Q48" s="7">
        <v>50000</v>
      </c>
      <c r="R48" s="7">
        <v>400000</v>
      </c>
      <c r="S48" s="7"/>
      <c r="T48" s="9">
        <v>11000000</v>
      </c>
      <c r="U48" s="9"/>
      <c r="V48" s="9">
        <f>4400000*U48</f>
        <v>0</v>
      </c>
      <c r="W48" s="10">
        <f>AI48*8%</f>
        <v>384000</v>
      </c>
      <c r="X48" s="10">
        <f>AI48*1.5%</f>
        <v>72000</v>
      </c>
      <c r="Y48" s="10">
        <f>AI48*1%</f>
        <v>48000</v>
      </c>
      <c r="Z48" s="10">
        <f>AI48*1%</f>
        <v>48000</v>
      </c>
      <c r="AA48" s="11">
        <f>SUM(L48:N48)+S48-T48-SUM(V48:Y48)</f>
        <v>-11504000</v>
      </c>
      <c r="AB48" s="5">
        <f>ROUND(IF(AA48&gt;0,IF(AA48&gt;80000000,(AA48-80000000)*35%+18150000,IF(AA48&gt;52000000,(AA48-52000000)*30%+9750000,IF(AA48&gt;32000000,(AA48-32000000)*25%+4750000,IF(AA48&gt;18000000,(AA48-18000000)*20%+1950000,IF(AA48&gt;10000000,(AA48-10000000)*15%+750000,IF(AA48&gt;5000000,(AA48-5000000)*10%+250000,AA48*5%)))))),0),0)</f>
        <v>0</v>
      </c>
      <c r="AC48" s="5"/>
      <c r="AD48" s="12">
        <f>ROUND(SUM(L48:S48)-SUM(W48:Z48)-AB48+AC48,0)</f>
        <v>628000</v>
      </c>
      <c r="AE48" s="13"/>
      <c r="AF48" s="12">
        <f>SUM(L48:S48)</f>
        <v>1180000</v>
      </c>
      <c r="AG48" s="12">
        <f>SUM(L48+N48)*23.5%</f>
        <v>0</v>
      </c>
      <c r="AH48" s="12">
        <f>SUM(AF48:AG48)</f>
        <v>1180000</v>
      </c>
      <c r="AI48" s="12">
        <f>IF(L48+N48&lt;4800000,4800000,MIN(29800000,L48+N48))</f>
        <v>4800000</v>
      </c>
    </row>
    <row r="49" spans="1:35" ht="15">
      <c r="A49" s="4" t="s">
        <v>246</v>
      </c>
      <c r="B49" s="25" t="s">
        <v>247</v>
      </c>
      <c r="C49" s="25" t="s">
        <v>39</v>
      </c>
      <c r="D49" s="25" t="s">
        <v>248</v>
      </c>
      <c r="E49" s="25" t="s">
        <v>41</v>
      </c>
      <c r="F49" s="25"/>
      <c r="G49" s="25"/>
      <c r="H49" s="25" t="s">
        <v>236</v>
      </c>
      <c r="I49" s="21" t="s">
        <v>249</v>
      </c>
      <c r="J49" s="21" t="s">
        <v>97</v>
      </c>
      <c r="K49" s="5"/>
      <c r="L49" s="6"/>
      <c r="M49" s="5">
        <f>K49-L49</f>
        <v>0</v>
      </c>
      <c r="N49" s="7"/>
      <c r="O49" s="5">
        <v>730000</v>
      </c>
      <c r="P49" s="8"/>
      <c r="Q49" s="7">
        <v>50000</v>
      </c>
      <c r="R49" s="7">
        <v>400000</v>
      </c>
      <c r="S49" s="7"/>
      <c r="T49" s="9">
        <v>11000000</v>
      </c>
      <c r="U49" s="9"/>
      <c r="V49" s="9">
        <f>4400000*U49</f>
        <v>0</v>
      </c>
      <c r="W49" s="10">
        <f>AI49*8%</f>
        <v>384000</v>
      </c>
      <c r="X49" s="10">
        <f>AI49*1.5%</f>
        <v>72000</v>
      </c>
      <c r="Y49" s="10">
        <f>AI49*1%</f>
        <v>48000</v>
      </c>
      <c r="Z49" s="10">
        <f>AI49*1%</f>
        <v>48000</v>
      </c>
      <c r="AA49" s="11">
        <f>SUM(L49:N49)+S49-T49-SUM(V49:Y49)</f>
        <v>-11504000</v>
      </c>
      <c r="AB49" s="5">
        <f>ROUND(IF(AA49&gt;0,IF(AA49&gt;80000000,(AA49-80000000)*35%+18150000,IF(AA49&gt;52000000,(AA49-52000000)*30%+9750000,IF(AA49&gt;32000000,(AA49-32000000)*25%+4750000,IF(AA49&gt;18000000,(AA49-18000000)*20%+1950000,IF(AA49&gt;10000000,(AA49-10000000)*15%+750000,IF(AA49&gt;5000000,(AA49-5000000)*10%+250000,AA49*5%)))))),0),0)</f>
        <v>0</v>
      </c>
      <c r="AC49" s="5"/>
      <c r="AD49" s="12">
        <f>ROUND(SUM(L49:S49)-SUM(W49:Z49)-AB49+AC49,0)</f>
        <v>628000</v>
      </c>
      <c r="AE49" s="13"/>
      <c r="AF49" s="12">
        <f>SUM(L49:S49)</f>
        <v>1180000</v>
      </c>
      <c r="AG49" s="12">
        <f>SUM(L49+N49)*23.5%</f>
        <v>0</v>
      </c>
      <c r="AH49" s="12">
        <f>SUM(AF49:AG49)</f>
        <v>1180000</v>
      </c>
      <c r="AI49" s="12">
        <f>IF(L49+N49&lt;4800000,4800000,MIN(29800000,L49+N49))</f>
        <v>4800000</v>
      </c>
    </row>
    <row r="50" spans="1:35" ht="15">
      <c r="A50" s="4" t="s">
        <v>250</v>
      </c>
      <c r="B50" s="25" t="s">
        <v>251</v>
      </c>
      <c r="C50" s="25" t="s">
        <v>39</v>
      </c>
      <c r="D50" s="25" t="s">
        <v>252</v>
      </c>
      <c r="E50" s="25" t="s">
        <v>41</v>
      </c>
      <c r="F50" s="25"/>
      <c r="G50" s="25"/>
      <c r="H50" s="25" t="s">
        <v>236</v>
      </c>
      <c r="I50" s="21" t="s">
        <v>253</v>
      </c>
      <c r="J50" s="21" t="s">
        <v>97</v>
      </c>
      <c r="K50" s="5"/>
      <c r="L50" s="6"/>
      <c r="M50" s="5">
        <f>K50-L50</f>
        <v>0</v>
      </c>
      <c r="N50" s="7"/>
      <c r="O50" s="5">
        <v>730000</v>
      </c>
      <c r="P50" s="8"/>
      <c r="Q50" s="7">
        <v>50000</v>
      </c>
      <c r="R50" s="7">
        <v>400000</v>
      </c>
      <c r="S50" s="7"/>
      <c r="T50" s="9">
        <v>11000000</v>
      </c>
      <c r="U50" s="9"/>
      <c r="V50" s="9">
        <f>4400000*U50</f>
        <v>0</v>
      </c>
      <c r="W50" s="10">
        <f>AI50*8%</f>
        <v>384000</v>
      </c>
      <c r="X50" s="10">
        <f>AI50*1.5%</f>
        <v>72000</v>
      </c>
      <c r="Y50" s="10">
        <f>AI50*1%</f>
        <v>48000</v>
      </c>
      <c r="Z50" s="10">
        <f>AI50*1%</f>
        <v>48000</v>
      </c>
      <c r="AA50" s="11">
        <f>SUM(L50:N50)+S50-T50-SUM(V50:Y50)</f>
        <v>-11504000</v>
      </c>
      <c r="AB50" s="5">
        <f>ROUND(IF(AA50&gt;0,IF(AA50&gt;80000000,(AA50-80000000)*35%+18150000,IF(AA50&gt;52000000,(AA50-52000000)*30%+9750000,IF(AA50&gt;32000000,(AA50-32000000)*25%+4750000,IF(AA50&gt;18000000,(AA50-18000000)*20%+1950000,IF(AA50&gt;10000000,(AA50-10000000)*15%+750000,IF(AA50&gt;5000000,(AA50-5000000)*10%+250000,AA50*5%)))))),0),0)</f>
        <v>0</v>
      </c>
      <c r="AC50" s="5"/>
      <c r="AD50" s="12">
        <f>ROUND(SUM(L50:S50)-SUM(W50:Z50)-AB50+AC50,0)</f>
        <v>628000</v>
      </c>
      <c r="AE50" s="13"/>
      <c r="AF50" s="12">
        <f>SUM(L50:S50)</f>
        <v>1180000</v>
      </c>
      <c r="AG50" s="12">
        <f>SUM(L50+N50)*23.5%</f>
        <v>0</v>
      </c>
      <c r="AH50" s="12">
        <f>SUM(AF50:AG50)</f>
        <v>1180000</v>
      </c>
      <c r="AI50" s="12">
        <f>IF(L50+N50&lt;4800000,4800000,MIN(29800000,L50+N50))</f>
        <v>4800000</v>
      </c>
    </row>
    <row r="51" spans="1:35" ht="15">
      <c r="A51" s="4" t="s">
        <v>254</v>
      </c>
      <c r="B51" s="25" t="s">
        <v>255</v>
      </c>
      <c r="C51" s="25" t="s">
        <v>39</v>
      </c>
      <c r="D51" s="25" t="s">
        <v>256</v>
      </c>
      <c r="E51" s="25" t="s">
        <v>41</v>
      </c>
      <c r="F51" s="25"/>
      <c r="G51" s="25"/>
      <c r="H51" s="25" t="s">
        <v>236</v>
      </c>
      <c r="I51" s="21" t="s">
        <v>257</v>
      </c>
      <c r="J51" s="21" t="s">
        <v>97</v>
      </c>
      <c r="K51" s="5"/>
      <c r="L51" s="6"/>
      <c r="M51" s="5">
        <f>K51-L51</f>
        <v>0</v>
      </c>
      <c r="N51" s="7"/>
      <c r="O51" s="5">
        <v>730000</v>
      </c>
      <c r="P51" s="8"/>
      <c r="Q51" s="7">
        <v>50000</v>
      </c>
      <c r="R51" s="7">
        <v>400000</v>
      </c>
      <c r="S51" s="7"/>
      <c r="T51" s="9">
        <v>11000000</v>
      </c>
      <c r="U51" s="9"/>
      <c r="V51" s="9">
        <f>4400000*U51</f>
        <v>0</v>
      </c>
      <c r="W51" s="10">
        <f>AI51*8%</f>
        <v>384000</v>
      </c>
      <c r="X51" s="10">
        <f>AI51*1.5%</f>
        <v>72000</v>
      </c>
      <c r="Y51" s="10">
        <f>AI51*1%</f>
        <v>48000</v>
      </c>
      <c r="Z51" s="10">
        <f>AI51*1%</f>
        <v>48000</v>
      </c>
      <c r="AA51" s="11">
        <f>SUM(L51:N51)+S51-T51-SUM(V51:Y51)</f>
        <v>-11504000</v>
      </c>
      <c r="AB51" s="5">
        <f>ROUND(IF(AA51&gt;0,IF(AA51&gt;80000000,(AA51-80000000)*35%+18150000,IF(AA51&gt;52000000,(AA51-52000000)*30%+9750000,IF(AA51&gt;32000000,(AA51-32000000)*25%+4750000,IF(AA51&gt;18000000,(AA51-18000000)*20%+1950000,IF(AA51&gt;10000000,(AA51-10000000)*15%+750000,IF(AA51&gt;5000000,(AA51-5000000)*10%+250000,AA51*5%)))))),0),0)</f>
        <v>0</v>
      </c>
      <c r="AC51" s="5"/>
      <c r="AD51" s="12">
        <f>ROUND(SUM(L51:S51)-SUM(W51:Z51)-AB51+AC51,0)</f>
        <v>628000</v>
      </c>
      <c r="AE51" s="13"/>
      <c r="AF51" s="12">
        <f>SUM(L51:S51)</f>
        <v>1180000</v>
      </c>
      <c r="AG51" s="12">
        <f>SUM(L51+N51)*23.5%</f>
        <v>0</v>
      </c>
      <c r="AH51" s="12">
        <f>SUM(AF51:AG51)</f>
        <v>1180000</v>
      </c>
      <c r="AI51" s="12">
        <f>IF(L51+N51&lt;4800000,4800000,MIN(29800000,L51+N51))</f>
        <v>4800000</v>
      </c>
    </row>
    <row r="52" spans="1:35" ht="15">
      <c r="A52" s="4" t="s">
        <v>258</v>
      </c>
      <c r="B52" s="25" t="s">
        <v>259</v>
      </c>
      <c r="C52" s="25" t="s">
        <v>39</v>
      </c>
      <c r="D52" s="25" t="s">
        <v>260</v>
      </c>
      <c r="E52" s="25" t="s">
        <v>41</v>
      </c>
      <c r="F52" s="25"/>
      <c r="G52" s="25"/>
      <c r="H52" s="25" t="s">
        <v>236</v>
      </c>
      <c r="I52" s="21" t="s">
        <v>261</v>
      </c>
      <c r="J52" s="21" t="s">
        <v>97</v>
      </c>
      <c r="K52" s="5"/>
      <c r="L52" s="6"/>
      <c r="M52" s="5">
        <f>K52-L52</f>
        <v>0</v>
      </c>
      <c r="N52" s="7"/>
      <c r="O52" s="5">
        <v>730000</v>
      </c>
      <c r="P52" s="8"/>
      <c r="Q52" s="7">
        <v>50000</v>
      </c>
      <c r="R52" s="7">
        <v>400000</v>
      </c>
      <c r="S52" s="7"/>
      <c r="T52" s="9">
        <v>11000000</v>
      </c>
      <c r="U52" s="9"/>
      <c r="V52" s="9">
        <f>4400000*U52</f>
        <v>0</v>
      </c>
      <c r="W52" s="10">
        <f>AI52*8%</f>
        <v>384000</v>
      </c>
      <c r="X52" s="10">
        <f>AI52*1.5%</f>
        <v>72000</v>
      </c>
      <c r="Y52" s="10">
        <f>AI52*1%</f>
        <v>48000</v>
      </c>
      <c r="Z52" s="10">
        <f>AI52*1%</f>
        <v>48000</v>
      </c>
      <c r="AA52" s="11">
        <f>SUM(L52:N52)+S52-T52-SUM(V52:Y52)</f>
        <v>-11504000</v>
      </c>
      <c r="AB52" s="5">
        <f>ROUND(IF(AA52&gt;0,IF(AA52&gt;80000000,(AA52-80000000)*35%+18150000,IF(AA52&gt;52000000,(AA52-52000000)*30%+9750000,IF(AA52&gt;32000000,(AA52-32000000)*25%+4750000,IF(AA52&gt;18000000,(AA52-18000000)*20%+1950000,IF(AA52&gt;10000000,(AA52-10000000)*15%+750000,IF(AA52&gt;5000000,(AA52-5000000)*10%+250000,AA52*5%)))))),0),0)</f>
        <v>0</v>
      </c>
      <c r="AC52" s="5"/>
      <c r="AD52" s="12">
        <f>ROUND(SUM(L52:S52)-SUM(W52:Z52)-AB52+AC52,0)</f>
        <v>628000</v>
      </c>
      <c r="AE52" s="13"/>
      <c r="AF52" s="12">
        <f>SUM(L52:S52)</f>
        <v>1180000</v>
      </c>
      <c r="AG52" s="12">
        <f>SUM(L52+N52)*23.5%</f>
        <v>0</v>
      </c>
      <c r="AH52" s="12">
        <f>SUM(AF52:AG52)</f>
        <v>1180000</v>
      </c>
      <c r="AI52" s="12">
        <f>IF(L52+N52&lt;4800000,4800000,MIN(29800000,L52+N52))</f>
        <v>4800000</v>
      </c>
    </row>
    <row r="53" spans="1:35" ht="15">
      <c r="A53" s="4" t="s">
        <v>262</v>
      </c>
      <c r="B53" s="25" t="s">
        <v>263</v>
      </c>
      <c r="C53" s="25" t="s">
        <v>39</v>
      </c>
      <c r="D53" s="25" t="s">
        <v>264</v>
      </c>
      <c r="E53" s="25" t="s">
        <v>41</v>
      </c>
      <c r="F53" s="25"/>
      <c r="G53" s="25"/>
      <c r="H53" s="25" t="s">
        <v>236</v>
      </c>
      <c r="I53" s="21" t="s">
        <v>265</v>
      </c>
      <c r="J53" s="21" t="s">
        <v>97</v>
      </c>
      <c r="K53" s="5"/>
      <c r="L53" s="6"/>
      <c r="M53" s="5">
        <f>K53-L53</f>
        <v>0</v>
      </c>
      <c r="N53" s="7"/>
      <c r="O53" s="5">
        <v>730000</v>
      </c>
      <c r="P53" s="8"/>
      <c r="Q53" s="7">
        <v>50000</v>
      </c>
      <c r="R53" s="7">
        <v>400000</v>
      </c>
      <c r="S53" s="7"/>
      <c r="T53" s="9">
        <v>11000000</v>
      </c>
      <c r="U53" s="9"/>
      <c r="V53" s="9">
        <f>4400000*U53</f>
        <v>0</v>
      </c>
      <c r="W53" s="10">
        <f>AI53*8%</f>
        <v>384000</v>
      </c>
      <c r="X53" s="10">
        <f>AI53*1.5%</f>
        <v>72000</v>
      </c>
      <c r="Y53" s="10">
        <f>AI53*1%</f>
        <v>48000</v>
      </c>
      <c r="Z53" s="10">
        <f>AI53*1%</f>
        <v>48000</v>
      </c>
      <c r="AA53" s="11">
        <f>SUM(L53:N53)+S53-T53-SUM(V53:Y53)</f>
        <v>-11504000</v>
      </c>
      <c r="AB53" s="5">
        <f>ROUND(IF(AA53&gt;0,IF(AA53&gt;80000000,(AA53-80000000)*35%+18150000,IF(AA53&gt;52000000,(AA53-52000000)*30%+9750000,IF(AA53&gt;32000000,(AA53-32000000)*25%+4750000,IF(AA53&gt;18000000,(AA53-18000000)*20%+1950000,IF(AA53&gt;10000000,(AA53-10000000)*15%+750000,IF(AA53&gt;5000000,(AA53-5000000)*10%+250000,AA53*5%)))))),0),0)</f>
        <v>0</v>
      </c>
      <c r="AC53" s="5"/>
      <c r="AD53" s="12">
        <f>ROUND(SUM(L53:S53)-SUM(W53:Z53)-AB53+AC53,0)</f>
        <v>628000</v>
      </c>
      <c r="AE53" s="13"/>
      <c r="AF53" s="12">
        <f>SUM(L53:S53)</f>
        <v>1180000</v>
      </c>
      <c r="AG53" s="12">
        <f>SUM(L53+N53)*23.5%</f>
        <v>0</v>
      </c>
      <c r="AH53" s="12">
        <f>SUM(AF53:AG53)</f>
        <v>1180000</v>
      </c>
      <c r="AI53" s="12">
        <f>IF(L53+N53&lt;4800000,4800000,MIN(29800000,L53+N53))</f>
        <v>4800000</v>
      </c>
    </row>
    <row r="54" spans="1:35" ht="15">
      <c r="A54" s="4" t="s">
        <v>266</v>
      </c>
      <c r="B54" s="25" t="s">
        <v>267</v>
      </c>
      <c r="C54" s="25" t="s">
        <v>39</v>
      </c>
      <c r="D54" s="25" t="s">
        <v>268</v>
      </c>
      <c r="E54" s="25" t="s">
        <v>41</v>
      </c>
      <c r="F54" s="25"/>
      <c r="G54" s="25"/>
      <c r="H54" s="25" t="s">
        <v>236</v>
      </c>
      <c r="I54" s="21" t="s">
        <v>269</v>
      </c>
      <c r="J54" s="21" t="s">
        <v>97</v>
      </c>
      <c r="K54" s="5"/>
      <c r="L54" s="6"/>
      <c r="M54" s="5">
        <f>K54-L54</f>
        <v>0</v>
      </c>
      <c r="N54" s="7"/>
      <c r="O54" s="5">
        <v>730000</v>
      </c>
      <c r="P54" s="8"/>
      <c r="Q54" s="7">
        <v>50000</v>
      </c>
      <c r="R54" s="7">
        <v>400000</v>
      </c>
      <c r="S54" s="7"/>
      <c r="T54" s="9">
        <v>11000000</v>
      </c>
      <c r="U54" s="9"/>
      <c r="V54" s="9">
        <f>4400000*U54</f>
        <v>0</v>
      </c>
      <c r="W54" s="10">
        <f>AI54*8%</f>
        <v>384000</v>
      </c>
      <c r="X54" s="10">
        <f>AI54*1.5%</f>
        <v>72000</v>
      </c>
      <c r="Y54" s="10">
        <f>AI54*1%</f>
        <v>48000</v>
      </c>
      <c r="Z54" s="10">
        <f>AI54*1%</f>
        <v>48000</v>
      </c>
      <c r="AA54" s="11">
        <f>SUM(L54:N54)+S54-T54-SUM(V54:Y54)</f>
        <v>-11504000</v>
      </c>
      <c r="AB54" s="5">
        <f>ROUND(IF(AA54&gt;0,IF(AA54&gt;80000000,(AA54-80000000)*35%+18150000,IF(AA54&gt;52000000,(AA54-52000000)*30%+9750000,IF(AA54&gt;32000000,(AA54-32000000)*25%+4750000,IF(AA54&gt;18000000,(AA54-18000000)*20%+1950000,IF(AA54&gt;10000000,(AA54-10000000)*15%+750000,IF(AA54&gt;5000000,(AA54-5000000)*10%+250000,AA54*5%)))))),0),0)</f>
        <v>0</v>
      </c>
      <c r="AC54" s="5"/>
      <c r="AD54" s="12">
        <f>ROUND(SUM(L54:S54)-SUM(W54:Z54)-AB54+AC54,0)</f>
        <v>628000</v>
      </c>
      <c r="AE54" s="13"/>
      <c r="AF54" s="12">
        <f>SUM(L54:S54)</f>
        <v>1180000</v>
      </c>
      <c r="AG54" s="12">
        <f>SUM(L54+N54)*23.5%</f>
        <v>0</v>
      </c>
      <c r="AH54" s="12">
        <f>SUM(AF54:AG54)</f>
        <v>1180000</v>
      </c>
      <c r="AI54" s="12">
        <f>IF(L54+N54&lt;4800000,4800000,MIN(29800000,L54+N54))</f>
        <v>4800000</v>
      </c>
    </row>
    <row r="55" spans="1:35" ht="15">
      <c r="A55" s="4" t="s">
        <v>270</v>
      </c>
      <c r="B55" s="25" t="s">
        <v>271</v>
      </c>
      <c r="C55" s="25" t="s">
        <v>39</v>
      </c>
      <c r="D55" s="25" t="s">
        <v>272</v>
      </c>
      <c r="E55" s="25" t="s">
        <v>41</v>
      </c>
      <c r="F55" s="25"/>
      <c r="G55" s="25"/>
      <c r="H55" s="25" t="s">
        <v>236</v>
      </c>
      <c r="I55" s="21" t="s">
        <v>273</v>
      </c>
      <c r="J55" s="21" t="s">
        <v>60</v>
      </c>
      <c r="K55" s="5"/>
      <c r="L55" s="6"/>
      <c r="M55" s="5">
        <f>K55-L55</f>
        <v>0</v>
      </c>
      <c r="N55" s="7"/>
      <c r="O55" s="5">
        <v>730000</v>
      </c>
      <c r="P55" s="8"/>
      <c r="Q55" s="7">
        <v>50000</v>
      </c>
      <c r="R55" s="7">
        <v>400000</v>
      </c>
      <c r="S55" s="7"/>
      <c r="T55" s="9">
        <v>11000000</v>
      </c>
      <c r="U55" s="9"/>
      <c r="V55" s="9">
        <f>4400000*U55</f>
        <v>0</v>
      </c>
      <c r="W55" s="10">
        <f>AI55*8%</f>
        <v>384000</v>
      </c>
      <c r="X55" s="10">
        <f>AI55*1.5%</f>
        <v>72000</v>
      </c>
      <c r="Y55" s="10">
        <f>AI55*1%</f>
        <v>48000</v>
      </c>
      <c r="Z55" s="10">
        <f>AI55*1%</f>
        <v>48000</v>
      </c>
      <c r="AA55" s="11">
        <f>SUM(L55:N55)+S55-T55-SUM(V55:Y55)</f>
        <v>-11504000</v>
      </c>
      <c r="AB55" s="5">
        <f>ROUND(IF(AA55&gt;0,IF(AA55&gt;80000000,(AA55-80000000)*35%+18150000,IF(AA55&gt;52000000,(AA55-52000000)*30%+9750000,IF(AA55&gt;32000000,(AA55-32000000)*25%+4750000,IF(AA55&gt;18000000,(AA55-18000000)*20%+1950000,IF(AA55&gt;10000000,(AA55-10000000)*15%+750000,IF(AA55&gt;5000000,(AA55-5000000)*10%+250000,AA55*5%)))))),0),0)</f>
        <v>0</v>
      </c>
      <c r="AC55" s="5"/>
      <c r="AD55" s="12">
        <f>ROUND(SUM(L55:S55)-SUM(W55:Z55)-AB55+AC55,0)</f>
        <v>628000</v>
      </c>
      <c r="AE55" s="13"/>
      <c r="AF55" s="12">
        <f>SUM(L55:S55)</f>
        <v>1180000</v>
      </c>
      <c r="AG55" s="12">
        <f>SUM(L55+N55)*23.5%</f>
        <v>0</v>
      </c>
      <c r="AH55" s="12">
        <f>SUM(AF55:AG55)</f>
        <v>1180000</v>
      </c>
      <c r="AI55" s="12">
        <f>IF(L55+N55&lt;4800000,4800000,MIN(29800000,L55+N55))</f>
        <v>4800000</v>
      </c>
    </row>
    <row r="56" spans="1:35" ht="15">
      <c r="A56" s="4" t="s">
        <v>274</v>
      </c>
      <c r="B56" s="25" t="s">
        <v>275</v>
      </c>
      <c r="C56" s="25" t="s">
        <v>39</v>
      </c>
      <c r="D56" s="25" t="s">
        <v>276</v>
      </c>
      <c r="E56" s="25" t="s">
        <v>41</v>
      </c>
      <c r="F56" s="25"/>
      <c r="G56" s="25"/>
      <c r="H56" s="25" t="s">
        <v>236</v>
      </c>
      <c r="I56" s="21" t="s">
        <v>277</v>
      </c>
      <c r="J56" s="21" t="s">
        <v>97</v>
      </c>
      <c r="K56" s="5"/>
      <c r="L56" s="6"/>
      <c r="M56" s="5">
        <f>K56-L56</f>
        <v>0</v>
      </c>
      <c r="N56" s="7"/>
      <c r="O56" s="5">
        <v>730000</v>
      </c>
      <c r="P56" s="8"/>
      <c r="Q56" s="7">
        <v>50000</v>
      </c>
      <c r="R56" s="7">
        <v>400000</v>
      </c>
      <c r="S56" s="7"/>
      <c r="T56" s="9">
        <v>11000000</v>
      </c>
      <c r="U56" s="9"/>
      <c r="V56" s="9">
        <f>4400000*U56</f>
        <v>0</v>
      </c>
      <c r="W56" s="10">
        <f>AI56*8%</f>
        <v>384000</v>
      </c>
      <c r="X56" s="10">
        <f>AI56*1.5%</f>
        <v>72000</v>
      </c>
      <c r="Y56" s="10">
        <f>AI56*1%</f>
        <v>48000</v>
      </c>
      <c r="Z56" s="10">
        <f>AI56*1%</f>
        <v>48000</v>
      </c>
      <c r="AA56" s="11">
        <f>SUM(L56:N56)+S56-T56-SUM(V56:Y56)</f>
        <v>-11504000</v>
      </c>
      <c r="AB56" s="5">
        <f>ROUND(IF(AA56&gt;0,IF(AA56&gt;80000000,(AA56-80000000)*35%+18150000,IF(AA56&gt;52000000,(AA56-52000000)*30%+9750000,IF(AA56&gt;32000000,(AA56-32000000)*25%+4750000,IF(AA56&gt;18000000,(AA56-18000000)*20%+1950000,IF(AA56&gt;10000000,(AA56-10000000)*15%+750000,IF(AA56&gt;5000000,(AA56-5000000)*10%+250000,AA56*5%)))))),0),0)</f>
        <v>0</v>
      </c>
      <c r="AC56" s="5"/>
      <c r="AD56" s="12">
        <f>ROUND(SUM(L56:S56)-SUM(W56:Z56)-AB56+AC56,0)</f>
        <v>628000</v>
      </c>
      <c r="AE56" s="13"/>
      <c r="AF56" s="12">
        <f>SUM(L56:S56)</f>
        <v>1180000</v>
      </c>
      <c r="AG56" s="12">
        <f>SUM(L56+N56)*23.5%</f>
        <v>0</v>
      </c>
      <c r="AH56" s="12">
        <f>SUM(AF56:AG56)</f>
        <v>1180000</v>
      </c>
      <c r="AI56" s="12">
        <f>IF(L56+N56&lt;4800000,4800000,MIN(29800000,L56+N56))</f>
        <v>4800000</v>
      </c>
    </row>
    <row r="57" spans="1:35" ht="15">
      <c r="A57" s="4" t="s">
        <v>278</v>
      </c>
      <c r="B57" s="25" t="s">
        <v>279</v>
      </c>
      <c r="C57" s="25" t="s">
        <v>39</v>
      </c>
      <c r="D57" s="25" t="s">
        <v>280</v>
      </c>
      <c r="E57" s="25" t="s">
        <v>41</v>
      </c>
      <c r="F57" s="25"/>
      <c r="G57" s="25"/>
      <c r="H57" s="25" t="s">
        <v>236</v>
      </c>
      <c r="I57" s="21" t="s">
        <v>281</v>
      </c>
      <c r="J57" s="21" t="s">
        <v>162</v>
      </c>
      <c r="K57" s="5"/>
      <c r="L57" s="6"/>
      <c r="M57" s="5">
        <f>K57-L57</f>
        <v>0</v>
      </c>
      <c r="N57" s="7"/>
      <c r="O57" s="5">
        <v>730000</v>
      </c>
      <c r="P57" s="8"/>
      <c r="Q57" s="7">
        <v>50000</v>
      </c>
      <c r="R57" s="7">
        <v>400000</v>
      </c>
      <c r="S57" s="7"/>
      <c r="T57" s="9">
        <v>11000000</v>
      </c>
      <c r="U57" s="9"/>
      <c r="V57" s="9">
        <f>4400000*U57</f>
        <v>0</v>
      </c>
      <c r="W57" s="10">
        <f>AI57*8%</f>
        <v>384000</v>
      </c>
      <c r="X57" s="10">
        <f>AI57*1.5%</f>
        <v>72000</v>
      </c>
      <c r="Y57" s="10">
        <f>AI57*1%</f>
        <v>48000</v>
      </c>
      <c r="Z57" s="10">
        <f>AI57*1%</f>
        <v>48000</v>
      </c>
      <c r="AA57" s="11">
        <f>SUM(L57:N57)+S57-T57-SUM(V57:Y57)</f>
        <v>-11504000</v>
      </c>
      <c r="AB57" s="5">
        <f>ROUND(IF(AA57&gt;0,IF(AA57&gt;80000000,(AA57-80000000)*35%+18150000,IF(AA57&gt;52000000,(AA57-52000000)*30%+9750000,IF(AA57&gt;32000000,(AA57-32000000)*25%+4750000,IF(AA57&gt;18000000,(AA57-18000000)*20%+1950000,IF(AA57&gt;10000000,(AA57-10000000)*15%+750000,IF(AA57&gt;5000000,(AA57-5000000)*10%+250000,AA57*5%)))))),0),0)</f>
        <v>0</v>
      </c>
      <c r="AC57" s="5"/>
      <c r="AD57" s="12">
        <f>ROUND(SUM(L57:S57)-SUM(W57:Z57)-AB57+AC57,0)</f>
        <v>628000</v>
      </c>
      <c r="AE57" s="13"/>
      <c r="AF57" s="12">
        <f>SUM(L57:S57)</f>
        <v>1180000</v>
      </c>
      <c r="AG57" s="12">
        <f>SUM(L57+N57)*23.5%</f>
        <v>0</v>
      </c>
      <c r="AH57" s="12">
        <f>SUM(AF57:AG57)</f>
        <v>1180000</v>
      </c>
      <c r="AI57" s="12">
        <f>IF(L57+N57&lt;4800000,4800000,MIN(29800000,L57+N57))</f>
        <v>4800000</v>
      </c>
    </row>
    <row r="58" spans="1:35" ht="15">
      <c r="A58" s="4" t="s">
        <v>282</v>
      </c>
      <c r="B58" s="25" t="s">
        <v>283</v>
      </c>
      <c r="C58" s="25" t="s">
        <v>39</v>
      </c>
      <c r="D58" s="25" t="s">
        <v>284</v>
      </c>
      <c r="E58" s="25" t="s">
        <v>41</v>
      </c>
      <c r="F58" s="25"/>
      <c r="G58" s="25"/>
      <c r="H58" s="25" t="s">
        <v>236</v>
      </c>
      <c r="I58" s="21" t="s">
        <v>285</v>
      </c>
      <c r="J58" s="21" t="s">
        <v>97</v>
      </c>
      <c r="K58" s="5"/>
      <c r="L58" s="6"/>
      <c r="M58" s="5">
        <f>K58-L58</f>
        <v>0</v>
      </c>
      <c r="N58" s="7"/>
      <c r="O58" s="5">
        <v>730000</v>
      </c>
      <c r="P58" s="8"/>
      <c r="Q58" s="7">
        <v>50000</v>
      </c>
      <c r="R58" s="7">
        <v>400000</v>
      </c>
      <c r="S58" s="7"/>
      <c r="T58" s="9">
        <v>11000000</v>
      </c>
      <c r="U58" s="9"/>
      <c r="V58" s="9">
        <f>4400000*U58</f>
        <v>0</v>
      </c>
      <c r="W58" s="10">
        <f>AI58*8%</f>
        <v>384000</v>
      </c>
      <c r="X58" s="10">
        <f>AI58*1.5%</f>
        <v>72000</v>
      </c>
      <c r="Y58" s="10">
        <f>AI58*1%</f>
        <v>48000</v>
      </c>
      <c r="Z58" s="10">
        <f>AI58*1%</f>
        <v>48000</v>
      </c>
      <c r="AA58" s="11">
        <f>SUM(L58:N58)+S58-T58-SUM(V58:Y58)</f>
        <v>-11504000</v>
      </c>
      <c r="AB58" s="5">
        <f>ROUND(IF(AA58&gt;0,IF(AA58&gt;80000000,(AA58-80000000)*35%+18150000,IF(AA58&gt;52000000,(AA58-52000000)*30%+9750000,IF(AA58&gt;32000000,(AA58-32000000)*25%+4750000,IF(AA58&gt;18000000,(AA58-18000000)*20%+1950000,IF(AA58&gt;10000000,(AA58-10000000)*15%+750000,IF(AA58&gt;5000000,(AA58-5000000)*10%+250000,AA58*5%)))))),0),0)</f>
        <v>0</v>
      </c>
      <c r="AC58" s="5"/>
      <c r="AD58" s="12">
        <f>ROUND(SUM(L58:S58)-SUM(W58:Z58)-AB58+AC58,0)</f>
        <v>628000</v>
      </c>
      <c r="AE58" s="13"/>
      <c r="AF58" s="12">
        <f>SUM(L58:S58)</f>
        <v>1180000</v>
      </c>
      <c r="AG58" s="12">
        <f>SUM(L58+N58)*23.5%</f>
        <v>0</v>
      </c>
      <c r="AH58" s="12">
        <f>SUM(AF58:AG58)</f>
        <v>1180000</v>
      </c>
      <c r="AI58" s="12">
        <f>IF(L58+N58&lt;4800000,4800000,MIN(29800000,L58+N58))</f>
        <v>4800000</v>
      </c>
    </row>
    <row r="59" spans="1:35" ht="15">
      <c r="A59" s="4" t="s">
        <v>286</v>
      </c>
      <c r="B59" s="25" t="s">
        <v>287</v>
      </c>
      <c r="C59" s="25" t="s">
        <v>39</v>
      </c>
      <c r="D59" s="25" t="s">
        <v>288</v>
      </c>
      <c r="E59" s="25" t="s">
        <v>41</v>
      </c>
      <c r="F59" s="25"/>
      <c r="G59" s="25"/>
      <c r="H59" s="25" t="s">
        <v>236</v>
      </c>
      <c r="I59" s="21" t="s">
        <v>289</v>
      </c>
      <c r="J59" s="21" t="s">
        <v>97</v>
      </c>
      <c r="K59" s="5"/>
      <c r="L59" s="6"/>
      <c r="M59" s="5">
        <f>K59-L59</f>
        <v>0</v>
      </c>
      <c r="N59" s="7"/>
      <c r="O59" s="5">
        <v>730000</v>
      </c>
      <c r="P59" s="8"/>
      <c r="Q59" s="7">
        <v>50000</v>
      </c>
      <c r="R59" s="7">
        <v>400000</v>
      </c>
      <c r="S59" s="7"/>
      <c r="T59" s="9">
        <v>11000000</v>
      </c>
      <c r="U59" s="9"/>
      <c r="V59" s="9">
        <f>4400000*U59</f>
        <v>0</v>
      </c>
      <c r="W59" s="10">
        <f>AI59*8%</f>
        <v>384000</v>
      </c>
      <c r="X59" s="10">
        <f>AI59*1.5%</f>
        <v>72000</v>
      </c>
      <c r="Y59" s="10">
        <f>AI59*1%</f>
        <v>48000</v>
      </c>
      <c r="Z59" s="10">
        <f>AI59*1%</f>
        <v>48000</v>
      </c>
      <c r="AA59" s="11">
        <f>SUM(L59:N59)+S59-T59-SUM(V59:Y59)</f>
        <v>-11504000</v>
      </c>
      <c r="AB59" s="5">
        <f>ROUND(IF(AA59&gt;0,IF(AA59&gt;80000000,(AA59-80000000)*35%+18150000,IF(AA59&gt;52000000,(AA59-52000000)*30%+9750000,IF(AA59&gt;32000000,(AA59-32000000)*25%+4750000,IF(AA59&gt;18000000,(AA59-18000000)*20%+1950000,IF(AA59&gt;10000000,(AA59-10000000)*15%+750000,IF(AA59&gt;5000000,(AA59-5000000)*10%+250000,AA59*5%)))))),0),0)</f>
        <v>0</v>
      </c>
      <c r="AC59" s="5"/>
      <c r="AD59" s="12">
        <f>ROUND(SUM(L59:S59)-SUM(W59:Z59)-AB59+AC59,0)</f>
        <v>628000</v>
      </c>
      <c r="AE59" s="13"/>
      <c r="AF59" s="12">
        <f>SUM(L59:S59)</f>
        <v>1180000</v>
      </c>
      <c r="AG59" s="12">
        <f>SUM(L59+N59)*23.5%</f>
        <v>0</v>
      </c>
      <c r="AH59" s="12">
        <f>SUM(AF59:AG59)</f>
        <v>1180000</v>
      </c>
      <c r="AI59" s="12">
        <f>IF(L59+N59&lt;4800000,4800000,MIN(29800000,L59+N59))</f>
        <v>4800000</v>
      </c>
    </row>
    <row r="60" spans="1:35" ht="15">
      <c r="A60" s="4" t="s">
        <v>290</v>
      </c>
      <c r="B60" s="25" t="s">
        <v>291</v>
      </c>
      <c r="C60" s="25" t="s">
        <v>39</v>
      </c>
      <c r="D60" s="25" t="s">
        <v>292</v>
      </c>
      <c r="E60" s="25" t="s">
        <v>41</v>
      </c>
      <c r="F60" s="25"/>
      <c r="G60" s="25"/>
      <c r="H60" s="25" t="s">
        <v>293</v>
      </c>
      <c r="I60" s="21" t="s">
        <v>294</v>
      </c>
      <c r="J60" s="21" t="s">
        <v>97</v>
      </c>
      <c r="K60" s="5"/>
      <c r="L60" s="6"/>
      <c r="M60" s="5">
        <f>K60-L60</f>
        <v>0</v>
      </c>
      <c r="N60" s="7"/>
      <c r="O60" s="5">
        <v>730000</v>
      </c>
      <c r="P60" s="8"/>
      <c r="Q60" s="7">
        <v>50000</v>
      </c>
      <c r="R60" s="7">
        <v>400000</v>
      </c>
      <c r="S60" s="7"/>
      <c r="T60" s="9">
        <v>11000000</v>
      </c>
      <c r="U60" s="9"/>
      <c r="V60" s="9">
        <f>4400000*U60</f>
        <v>0</v>
      </c>
      <c r="W60" s="10">
        <f>AI60*8%</f>
        <v>384000</v>
      </c>
      <c r="X60" s="10">
        <f>AI60*1.5%</f>
        <v>72000</v>
      </c>
      <c r="Y60" s="10">
        <f>AI60*1%</f>
        <v>48000</v>
      </c>
      <c r="Z60" s="10">
        <f>AI60*1%</f>
        <v>48000</v>
      </c>
      <c r="AA60" s="11">
        <f>SUM(L60:N60)+S60-T60-SUM(V60:Y60)</f>
        <v>-11504000</v>
      </c>
      <c r="AB60" s="5">
        <f>ROUND(IF(AA60&gt;0,IF(AA60&gt;80000000,(AA60-80000000)*35%+18150000,IF(AA60&gt;52000000,(AA60-52000000)*30%+9750000,IF(AA60&gt;32000000,(AA60-32000000)*25%+4750000,IF(AA60&gt;18000000,(AA60-18000000)*20%+1950000,IF(AA60&gt;10000000,(AA60-10000000)*15%+750000,IF(AA60&gt;5000000,(AA60-5000000)*10%+250000,AA60*5%)))))),0),0)</f>
        <v>0</v>
      </c>
      <c r="AC60" s="5"/>
      <c r="AD60" s="12">
        <f>ROUND(SUM(L60:S60)-SUM(W60:Z60)-AB60+AC60,0)</f>
        <v>628000</v>
      </c>
      <c r="AE60" s="13"/>
      <c r="AF60" s="12">
        <f>SUM(L60:S60)</f>
        <v>1180000</v>
      </c>
      <c r="AG60" s="12">
        <f>SUM(L60+N60)*23.5%</f>
        <v>0</v>
      </c>
      <c r="AH60" s="12">
        <f>SUM(AF60:AG60)</f>
        <v>1180000</v>
      </c>
      <c r="AI60" s="12">
        <f>IF(L60+N60&lt;4800000,4800000,MIN(29800000,L60+N60))</f>
        <v>4800000</v>
      </c>
    </row>
    <row r="61" spans="1:35" ht="15">
      <c r="A61" s="4" t="s">
        <v>295</v>
      </c>
      <c r="B61" s="25" t="s">
        <v>296</v>
      </c>
      <c r="C61" s="25" t="s">
        <v>39</v>
      </c>
      <c r="D61" s="25" t="s">
        <v>297</v>
      </c>
      <c r="E61" s="25" t="s">
        <v>41</v>
      </c>
      <c r="F61" s="25"/>
      <c r="G61" s="25"/>
      <c r="H61" s="25" t="s">
        <v>293</v>
      </c>
      <c r="I61" s="21" t="s">
        <v>298</v>
      </c>
      <c r="J61" s="21" t="s">
        <v>97</v>
      </c>
      <c r="K61" s="5"/>
      <c r="L61" s="6"/>
      <c r="M61" s="5">
        <f>K61-L61</f>
        <v>0</v>
      </c>
      <c r="N61" s="7"/>
      <c r="O61" s="5">
        <v>730000</v>
      </c>
      <c r="P61" s="8"/>
      <c r="Q61" s="7">
        <v>50000</v>
      </c>
      <c r="R61" s="7">
        <v>400000</v>
      </c>
      <c r="S61" s="7"/>
      <c r="T61" s="9">
        <v>11000000</v>
      </c>
      <c r="U61" s="9"/>
      <c r="V61" s="9">
        <f>4400000*U61</f>
        <v>0</v>
      </c>
      <c r="W61" s="10">
        <f>AI61*8%</f>
        <v>384000</v>
      </c>
      <c r="X61" s="10">
        <f>AI61*1.5%</f>
        <v>72000</v>
      </c>
      <c r="Y61" s="10">
        <f>AI61*1%</f>
        <v>48000</v>
      </c>
      <c r="Z61" s="10">
        <f>AI61*1%</f>
        <v>48000</v>
      </c>
      <c r="AA61" s="11">
        <f>SUM(L61:N61)+S61-T61-SUM(V61:Y61)</f>
        <v>-11504000</v>
      </c>
      <c r="AB61" s="5">
        <f>ROUND(IF(AA61&gt;0,IF(AA61&gt;80000000,(AA61-80000000)*35%+18150000,IF(AA61&gt;52000000,(AA61-52000000)*30%+9750000,IF(AA61&gt;32000000,(AA61-32000000)*25%+4750000,IF(AA61&gt;18000000,(AA61-18000000)*20%+1950000,IF(AA61&gt;10000000,(AA61-10000000)*15%+750000,IF(AA61&gt;5000000,(AA61-5000000)*10%+250000,AA61*5%)))))),0),0)</f>
        <v>0</v>
      </c>
      <c r="AC61" s="5"/>
      <c r="AD61" s="12">
        <f>ROUND(SUM(L61:S61)-SUM(W61:Z61)-AB61+AC61,0)</f>
        <v>628000</v>
      </c>
      <c r="AE61" s="13"/>
      <c r="AF61" s="12">
        <f>SUM(L61:S61)</f>
        <v>1180000</v>
      </c>
      <c r="AG61" s="12">
        <f>SUM(L61+N61)*23.5%</f>
        <v>0</v>
      </c>
      <c r="AH61" s="12">
        <f>SUM(AF61:AG61)</f>
        <v>1180000</v>
      </c>
      <c r="AI61" s="12">
        <f>IF(L61+N61&lt;4800000,4800000,MIN(29800000,L61+N61))</f>
        <v>4800000</v>
      </c>
    </row>
    <row r="62" spans="1:35" ht="15">
      <c r="A62" s="4" t="s">
        <v>299</v>
      </c>
      <c r="B62" s="25" t="s">
        <v>300</v>
      </c>
      <c r="C62" s="25" t="s">
        <v>39</v>
      </c>
      <c r="D62" s="25" t="s">
        <v>301</v>
      </c>
      <c r="E62" s="25" t="s">
        <v>41</v>
      </c>
      <c r="F62" s="25"/>
      <c r="G62" s="25"/>
      <c r="H62" s="25" t="s">
        <v>293</v>
      </c>
      <c r="I62" s="21" t="s">
        <v>302</v>
      </c>
      <c r="J62" s="21" t="s">
        <v>97</v>
      </c>
      <c r="K62" s="5"/>
      <c r="L62" s="6"/>
      <c r="M62" s="5">
        <f>K62-L62</f>
        <v>0</v>
      </c>
      <c r="N62" s="7"/>
      <c r="O62" s="5">
        <v>730000</v>
      </c>
      <c r="P62" s="8"/>
      <c r="Q62" s="7">
        <v>50000</v>
      </c>
      <c r="R62" s="7">
        <v>400000</v>
      </c>
      <c r="S62" s="7"/>
      <c r="T62" s="9">
        <v>11000000</v>
      </c>
      <c r="U62" s="9"/>
      <c r="V62" s="9">
        <f>4400000*U62</f>
        <v>0</v>
      </c>
      <c r="W62" s="10">
        <f>AI62*8%</f>
        <v>384000</v>
      </c>
      <c r="X62" s="10">
        <f>AI62*1.5%</f>
        <v>72000</v>
      </c>
      <c r="Y62" s="10">
        <f>AI62*1%</f>
        <v>48000</v>
      </c>
      <c r="Z62" s="10">
        <f>AI62*1%</f>
        <v>48000</v>
      </c>
      <c r="AA62" s="11">
        <f>SUM(L62:N62)+S62-T62-SUM(V62:Y62)</f>
        <v>-11504000</v>
      </c>
      <c r="AB62" s="5">
        <f>ROUND(IF(AA62&gt;0,IF(AA62&gt;80000000,(AA62-80000000)*35%+18150000,IF(AA62&gt;52000000,(AA62-52000000)*30%+9750000,IF(AA62&gt;32000000,(AA62-32000000)*25%+4750000,IF(AA62&gt;18000000,(AA62-18000000)*20%+1950000,IF(AA62&gt;10000000,(AA62-10000000)*15%+750000,IF(AA62&gt;5000000,(AA62-5000000)*10%+250000,AA62*5%)))))),0),0)</f>
        <v>0</v>
      </c>
      <c r="AC62" s="5"/>
      <c r="AD62" s="12">
        <f>ROUND(SUM(L62:S62)-SUM(W62:Z62)-AB62+AC62,0)</f>
        <v>628000</v>
      </c>
      <c r="AE62" s="13"/>
      <c r="AF62" s="12">
        <f>SUM(L62:S62)</f>
        <v>1180000</v>
      </c>
      <c r="AG62" s="12">
        <f>SUM(L62+N62)*23.5%</f>
        <v>0</v>
      </c>
      <c r="AH62" s="12">
        <f>SUM(AF62:AG62)</f>
        <v>1180000</v>
      </c>
      <c r="AI62" s="12">
        <f>IF(L62+N62&lt;4800000,4800000,MIN(29800000,L62+N62))</f>
        <v>4800000</v>
      </c>
    </row>
    <row r="63" spans="1:35" ht="15">
      <c r="A63" s="4" t="s">
        <v>303</v>
      </c>
      <c r="B63" s="25" t="s">
        <v>304</v>
      </c>
      <c r="C63" s="25" t="s">
        <v>39</v>
      </c>
      <c r="D63" s="25" t="s">
        <v>305</v>
      </c>
      <c r="E63" s="25" t="s">
        <v>41</v>
      </c>
      <c r="F63" s="25"/>
      <c r="G63" s="25"/>
      <c r="H63" s="25" t="s">
        <v>293</v>
      </c>
      <c r="I63" s="21" t="s">
        <v>306</v>
      </c>
      <c r="J63" s="21" t="s">
        <v>97</v>
      </c>
      <c r="K63" s="5"/>
      <c r="L63" s="6"/>
      <c r="M63" s="5">
        <f>K63-L63</f>
        <v>0</v>
      </c>
      <c r="N63" s="7"/>
      <c r="O63" s="5">
        <v>730000</v>
      </c>
      <c r="P63" s="8"/>
      <c r="Q63" s="7">
        <v>50000</v>
      </c>
      <c r="R63" s="7">
        <v>400000</v>
      </c>
      <c r="S63" s="7"/>
      <c r="T63" s="9">
        <v>11000000</v>
      </c>
      <c r="U63" s="9"/>
      <c r="V63" s="9">
        <f>4400000*U63</f>
        <v>0</v>
      </c>
      <c r="W63" s="10">
        <f>AI63*8%</f>
        <v>384000</v>
      </c>
      <c r="X63" s="10">
        <f>AI63*1.5%</f>
        <v>72000</v>
      </c>
      <c r="Y63" s="10">
        <f>AI63*1%</f>
        <v>48000</v>
      </c>
      <c r="Z63" s="10">
        <f>AI63*1%</f>
        <v>48000</v>
      </c>
      <c r="AA63" s="11">
        <f>SUM(L63:N63)+S63-T63-SUM(V63:Y63)</f>
        <v>-11504000</v>
      </c>
      <c r="AB63" s="5">
        <f>ROUND(IF(AA63&gt;0,IF(AA63&gt;80000000,(AA63-80000000)*35%+18150000,IF(AA63&gt;52000000,(AA63-52000000)*30%+9750000,IF(AA63&gt;32000000,(AA63-32000000)*25%+4750000,IF(AA63&gt;18000000,(AA63-18000000)*20%+1950000,IF(AA63&gt;10000000,(AA63-10000000)*15%+750000,IF(AA63&gt;5000000,(AA63-5000000)*10%+250000,AA63*5%)))))),0),0)</f>
        <v>0</v>
      </c>
      <c r="AC63" s="5"/>
      <c r="AD63" s="12">
        <f>ROUND(SUM(L63:S63)-SUM(W63:Z63)-AB63+AC63,0)</f>
        <v>628000</v>
      </c>
      <c r="AE63" s="13"/>
      <c r="AF63" s="12">
        <f>SUM(L63:S63)</f>
        <v>1180000</v>
      </c>
      <c r="AG63" s="12">
        <f>SUM(L63+N63)*23.5%</f>
        <v>0</v>
      </c>
      <c r="AH63" s="12">
        <f>SUM(AF63:AG63)</f>
        <v>1180000</v>
      </c>
      <c r="AI63" s="12">
        <f>IF(L63+N63&lt;4800000,4800000,MIN(29800000,L63+N63))</f>
        <v>4800000</v>
      </c>
    </row>
    <row r="64" spans="1:35" ht="15">
      <c r="A64" s="4" t="s">
        <v>307</v>
      </c>
      <c r="B64" s="25" t="s">
        <v>308</v>
      </c>
      <c r="C64" s="25" t="s">
        <v>39</v>
      </c>
      <c r="D64" s="25" t="s">
        <v>309</v>
      </c>
      <c r="E64" s="25" t="s">
        <v>41</v>
      </c>
      <c r="F64" s="25"/>
      <c r="G64" s="25"/>
      <c r="H64" s="25" t="s">
        <v>293</v>
      </c>
      <c r="I64" s="21" t="s">
        <v>310</v>
      </c>
      <c r="J64" s="21" t="s">
        <v>97</v>
      </c>
      <c r="K64" s="5"/>
      <c r="L64" s="6"/>
      <c r="M64" s="5">
        <f>K64-L64</f>
        <v>0</v>
      </c>
      <c r="N64" s="7"/>
      <c r="O64" s="5">
        <v>730000</v>
      </c>
      <c r="P64" s="8"/>
      <c r="Q64" s="7">
        <v>50000</v>
      </c>
      <c r="R64" s="7">
        <v>400000</v>
      </c>
      <c r="S64" s="7"/>
      <c r="T64" s="9">
        <v>11000000</v>
      </c>
      <c r="U64" s="9"/>
      <c r="V64" s="9">
        <f>4400000*U64</f>
        <v>0</v>
      </c>
      <c r="W64" s="10">
        <f>AI64*8%</f>
        <v>384000</v>
      </c>
      <c r="X64" s="10">
        <f>AI64*1.5%</f>
        <v>72000</v>
      </c>
      <c r="Y64" s="10">
        <f>AI64*1%</f>
        <v>48000</v>
      </c>
      <c r="Z64" s="10">
        <f>AI64*1%</f>
        <v>48000</v>
      </c>
      <c r="AA64" s="11">
        <f>SUM(L64:N64)+S64-T64-SUM(V64:Y64)</f>
        <v>-11504000</v>
      </c>
      <c r="AB64" s="5">
        <f>ROUND(IF(AA64&gt;0,IF(AA64&gt;80000000,(AA64-80000000)*35%+18150000,IF(AA64&gt;52000000,(AA64-52000000)*30%+9750000,IF(AA64&gt;32000000,(AA64-32000000)*25%+4750000,IF(AA64&gt;18000000,(AA64-18000000)*20%+1950000,IF(AA64&gt;10000000,(AA64-10000000)*15%+750000,IF(AA64&gt;5000000,(AA64-5000000)*10%+250000,AA64*5%)))))),0),0)</f>
        <v>0</v>
      </c>
      <c r="AC64" s="5"/>
      <c r="AD64" s="12">
        <f>ROUND(SUM(L64:S64)-SUM(W64:Z64)-AB64+AC64,0)</f>
        <v>628000</v>
      </c>
      <c r="AE64" s="13"/>
      <c r="AF64" s="12">
        <f>SUM(L64:S64)</f>
        <v>1180000</v>
      </c>
      <c r="AG64" s="12">
        <f>SUM(L64+N64)*23.5%</f>
        <v>0</v>
      </c>
      <c r="AH64" s="12">
        <f>SUM(AF64:AG64)</f>
        <v>1180000</v>
      </c>
      <c r="AI64" s="12">
        <f>IF(L64+N64&lt;4800000,4800000,MIN(29800000,L64+N64))</f>
        <v>4800000</v>
      </c>
    </row>
    <row r="65" spans="1:35" ht="15">
      <c r="A65" s="4" t="s">
        <v>311</v>
      </c>
      <c r="B65" s="25" t="s">
        <v>312</v>
      </c>
      <c r="C65" s="25" t="s">
        <v>39</v>
      </c>
      <c r="D65" s="25" t="s">
        <v>313</v>
      </c>
      <c r="E65" s="25" t="s">
        <v>41</v>
      </c>
      <c r="F65" s="25"/>
      <c r="G65" s="25"/>
      <c r="H65" s="25" t="s">
        <v>293</v>
      </c>
      <c r="I65" s="21" t="s">
        <v>314</v>
      </c>
      <c r="J65" s="21" t="s">
        <v>97</v>
      </c>
      <c r="K65" s="5"/>
      <c r="L65" s="6"/>
      <c r="M65" s="5">
        <f>K65-L65</f>
        <v>0</v>
      </c>
      <c r="N65" s="7"/>
      <c r="O65" s="5">
        <v>730000</v>
      </c>
      <c r="P65" s="8"/>
      <c r="Q65" s="7">
        <v>50000</v>
      </c>
      <c r="R65" s="7">
        <v>400000</v>
      </c>
      <c r="S65" s="7"/>
      <c r="T65" s="9">
        <v>11000000</v>
      </c>
      <c r="U65" s="9"/>
      <c r="V65" s="9">
        <f>4400000*U65</f>
        <v>0</v>
      </c>
      <c r="W65" s="10">
        <f>AI65*8%</f>
        <v>384000</v>
      </c>
      <c r="X65" s="10">
        <f>AI65*1.5%</f>
        <v>72000</v>
      </c>
      <c r="Y65" s="10">
        <f>AI65*1%</f>
        <v>48000</v>
      </c>
      <c r="Z65" s="10">
        <f>AI65*1%</f>
        <v>48000</v>
      </c>
      <c r="AA65" s="11">
        <f>SUM(L65:N65)+S65-T65-SUM(V65:Y65)</f>
        <v>-11504000</v>
      </c>
      <c r="AB65" s="5">
        <f>ROUND(IF(AA65&gt;0,IF(AA65&gt;80000000,(AA65-80000000)*35%+18150000,IF(AA65&gt;52000000,(AA65-52000000)*30%+9750000,IF(AA65&gt;32000000,(AA65-32000000)*25%+4750000,IF(AA65&gt;18000000,(AA65-18000000)*20%+1950000,IF(AA65&gt;10000000,(AA65-10000000)*15%+750000,IF(AA65&gt;5000000,(AA65-5000000)*10%+250000,AA65*5%)))))),0),0)</f>
        <v>0</v>
      </c>
      <c r="AC65" s="5"/>
      <c r="AD65" s="12">
        <f>ROUND(SUM(L65:S65)-SUM(W65:Z65)-AB65+AC65,0)</f>
        <v>628000</v>
      </c>
      <c r="AE65" s="13"/>
      <c r="AF65" s="12">
        <f>SUM(L65:S65)</f>
        <v>1180000</v>
      </c>
      <c r="AG65" s="12">
        <f>SUM(L65+N65)*23.5%</f>
        <v>0</v>
      </c>
      <c r="AH65" s="12">
        <f>SUM(AF65:AG65)</f>
        <v>1180000</v>
      </c>
      <c r="AI65" s="12">
        <f>IF(L65+N65&lt;4800000,4800000,MIN(29800000,L65+N65))</f>
        <v>4800000</v>
      </c>
    </row>
    <row r="66" spans="1:35" ht="15">
      <c r="A66" s="4" t="s">
        <v>315</v>
      </c>
      <c r="B66" s="25" t="s">
        <v>316</v>
      </c>
      <c r="C66" s="25" t="s">
        <v>39</v>
      </c>
      <c r="D66" s="25" t="s">
        <v>317</v>
      </c>
      <c r="E66" s="25" t="s">
        <v>41</v>
      </c>
      <c r="F66" s="25"/>
      <c r="G66" s="25"/>
      <c r="H66" s="25" t="s">
        <v>293</v>
      </c>
      <c r="I66" s="21" t="s">
        <v>318</v>
      </c>
      <c r="J66" s="21" t="s">
        <v>319</v>
      </c>
      <c r="K66" s="5"/>
      <c r="L66" s="6"/>
      <c r="M66" s="5">
        <f>K66-L66</f>
        <v>0</v>
      </c>
      <c r="N66" s="7"/>
      <c r="O66" s="5">
        <v>730000</v>
      </c>
      <c r="P66" s="8"/>
      <c r="Q66" s="7">
        <v>50000</v>
      </c>
      <c r="R66" s="7">
        <v>400000</v>
      </c>
      <c r="S66" s="7"/>
      <c r="T66" s="9">
        <v>11000000</v>
      </c>
      <c r="U66" s="9"/>
      <c r="V66" s="9">
        <f>4400000*U66</f>
        <v>0</v>
      </c>
      <c r="W66" s="10">
        <f>AI66*8%</f>
        <v>384000</v>
      </c>
      <c r="X66" s="10">
        <f>AI66*1.5%</f>
        <v>72000</v>
      </c>
      <c r="Y66" s="10">
        <f>AI66*1%</f>
        <v>48000</v>
      </c>
      <c r="Z66" s="10">
        <f>AI66*1%</f>
        <v>48000</v>
      </c>
      <c r="AA66" s="11">
        <f>SUM(L66:N66)+S66-T66-SUM(V66:Y66)</f>
        <v>-11504000</v>
      </c>
      <c r="AB66" s="5">
        <f>ROUND(IF(AA66&gt;0,IF(AA66&gt;80000000,(AA66-80000000)*35%+18150000,IF(AA66&gt;52000000,(AA66-52000000)*30%+9750000,IF(AA66&gt;32000000,(AA66-32000000)*25%+4750000,IF(AA66&gt;18000000,(AA66-18000000)*20%+1950000,IF(AA66&gt;10000000,(AA66-10000000)*15%+750000,IF(AA66&gt;5000000,(AA66-5000000)*10%+250000,AA66*5%)))))),0),0)</f>
        <v>0</v>
      </c>
      <c r="AC66" s="5"/>
      <c r="AD66" s="12">
        <f>ROUND(SUM(L66:S66)-SUM(W66:Z66)-AB66+AC66,0)</f>
        <v>628000</v>
      </c>
      <c r="AE66" s="13"/>
      <c r="AF66" s="12">
        <f>SUM(L66:S66)</f>
        <v>1180000</v>
      </c>
      <c r="AG66" s="12">
        <f>SUM(L66+N66)*23.5%</f>
        <v>0</v>
      </c>
      <c r="AH66" s="12">
        <f>SUM(AF66:AG66)</f>
        <v>1180000</v>
      </c>
      <c r="AI66" s="12">
        <f>IF(L66+N66&lt;4800000,4800000,MIN(29800000,L66+N66))</f>
        <v>4800000</v>
      </c>
    </row>
    <row r="67" spans="1:35" ht="15">
      <c r="A67" s="4" t="s">
        <v>320</v>
      </c>
      <c r="B67" s="25" t="s">
        <v>321</v>
      </c>
      <c r="C67" s="25" t="s">
        <v>39</v>
      </c>
      <c r="D67" s="25" t="s">
        <v>322</v>
      </c>
      <c r="E67" s="25" t="s">
        <v>41</v>
      </c>
      <c r="F67" s="25"/>
      <c r="G67" s="25"/>
      <c r="H67" s="25" t="s">
        <v>293</v>
      </c>
      <c r="I67" s="21" t="s">
        <v>323</v>
      </c>
      <c r="J67" s="21" t="s">
        <v>97</v>
      </c>
      <c r="K67" s="5"/>
      <c r="L67" s="6"/>
      <c r="M67" s="5">
        <f>K67-L67</f>
        <v>0</v>
      </c>
      <c r="N67" s="7"/>
      <c r="O67" s="5">
        <v>730000</v>
      </c>
      <c r="P67" s="8"/>
      <c r="Q67" s="7">
        <v>50000</v>
      </c>
      <c r="R67" s="7">
        <v>400000</v>
      </c>
      <c r="S67" s="7"/>
      <c r="T67" s="9">
        <v>11000000</v>
      </c>
      <c r="U67" s="9"/>
      <c r="V67" s="9">
        <f>4400000*U67</f>
        <v>0</v>
      </c>
      <c r="W67" s="10">
        <f>AI67*8%</f>
        <v>384000</v>
      </c>
      <c r="X67" s="10">
        <f>AI67*1.5%</f>
        <v>72000</v>
      </c>
      <c r="Y67" s="10">
        <f>AI67*1%</f>
        <v>48000</v>
      </c>
      <c r="Z67" s="10">
        <f>AI67*1%</f>
        <v>48000</v>
      </c>
      <c r="AA67" s="11">
        <f>SUM(L67:N67)+S67-T67-SUM(V67:Y67)</f>
        <v>-11504000</v>
      </c>
      <c r="AB67" s="5">
        <f>ROUND(IF(AA67&gt;0,IF(AA67&gt;80000000,(AA67-80000000)*35%+18150000,IF(AA67&gt;52000000,(AA67-52000000)*30%+9750000,IF(AA67&gt;32000000,(AA67-32000000)*25%+4750000,IF(AA67&gt;18000000,(AA67-18000000)*20%+1950000,IF(AA67&gt;10000000,(AA67-10000000)*15%+750000,IF(AA67&gt;5000000,(AA67-5000000)*10%+250000,AA67*5%)))))),0),0)</f>
        <v>0</v>
      </c>
      <c r="AC67" s="5"/>
      <c r="AD67" s="12">
        <f>ROUND(SUM(L67:S67)-SUM(W67:Z67)-AB67+AC67,0)</f>
        <v>628000</v>
      </c>
      <c r="AE67" s="13"/>
      <c r="AF67" s="12">
        <f>SUM(L67:S67)</f>
        <v>1180000</v>
      </c>
      <c r="AG67" s="12">
        <f>SUM(L67+N67)*23.5%</f>
        <v>0</v>
      </c>
      <c r="AH67" s="12">
        <f>SUM(AF67:AG67)</f>
        <v>1180000</v>
      </c>
      <c r="AI67" s="12">
        <f>IF(L67+N67&lt;4800000,4800000,MIN(29800000,L67+N67))</f>
        <v>4800000</v>
      </c>
    </row>
    <row r="68" spans="1:35" ht="15">
      <c r="A68" s="4" t="s">
        <v>324</v>
      </c>
      <c r="B68" s="25" t="s">
        <v>325</v>
      </c>
      <c r="C68" s="25" t="s">
        <v>39</v>
      </c>
      <c r="D68" s="25" t="s">
        <v>326</v>
      </c>
      <c r="E68" s="25" t="s">
        <v>41</v>
      </c>
      <c r="F68" s="25"/>
      <c r="G68" s="25"/>
      <c r="H68" s="25" t="s">
        <v>293</v>
      </c>
      <c r="I68" s="21" t="s">
        <v>327</v>
      </c>
      <c r="J68" s="21" t="s">
        <v>97</v>
      </c>
      <c r="K68" s="5"/>
      <c r="L68" s="6"/>
      <c r="M68" s="5">
        <f>K68-L68</f>
        <v>0</v>
      </c>
      <c r="N68" s="7"/>
      <c r="O68" s="5">
        <v>730000</v>
      </c>
      <c r="P68" s="8"/>
      <c r="Q68" s="7">
        <v>50000</v>
      </c>
      <c r="R68" s="7">
        <v>400000</v>
      </c>
      <c r="S68" s="7"/>
      <c r="T68" s="9">
        <v>11000000</v>
      </c>
      <c r="U68" s="9"/>
      <c r="V68" s="9">
        <f>4400000*U68</f>
        <v>0</v>
      </c>
      <c r="W68" s="10">
        <f>AI68*8%</f>
        <v>384000</v>
      </c>
      <c r="X68" s="10">
        <f>AI68*1.5%</f>
        <v>72000</v>
      </c>
      <c r="Y68" s="10">
        <f>AI68*1%</f>
        <v>48000</v>
      </c>
      <c r="Z68" s="10">
        <f>AI68*1%</f>
        <v>48000</v>
      </c>
      <c r="AA68" s="11">
        <f>SUM(L68:N68)+S68-T68-SUM(V68:Y68)</f>
        <v>-11504000</v>
      </c>
      <c r="AB68" s="5">
        <f>ROUND(IF(AA68&gt;0,IF(AA68&gt;80000000,(AA68-80000000)*35%+18150000,IF(AA68&gt;52000000,(AA68-52000000)*30%+9750000,IF(AA68&gt;32000000,(AA68-32000000)*25%+4750000,IF(AA68&gt;18000000,(AA68-18000000)*20%+1950000,IF(AA68&gt;10000000,(AA68-10000000)*15%+750000,IF(AA68&gt;5000000,(AA68-5000000)*10%+250000,AA68*5%)))))),0),0)</f>
        <v>0</v>
      </c>
      <c r="AC68" s="5"/>
      <c r="AD68" s="12">
        <f>ROUND(SUM(L68:S68)-SUM(W68:Z68)-AB68+AC68,0)</f>
        <v>628000</v>
      </c>
      <c r="AE68" s="13"/>
      <c r="AF68" s="12">
        <f>SUM(L68:S68)</f>
        <v>1180000</v>
      </c>
      <c r="AG68" s="12">
        <f>SUM(L68+N68)*23.5%</f>
        <v>0</v>
      </c>
      <c r="AH68" s="12">
        <f>SUM(AF68:AG68)</f>
        <v>1180000</v>
      </c>
      <c r="AI68" s="12">
        <f>IF(L68+N68&lt;4800000,4800000,MIN(29800000,L68+N68))</f>
        <v>4800000</v>
      </c>
    </row>
    <row r="69" spans="1:35" ht="15">
      <c r="A69" s="4" t="s">
        <v>328</v>
      </c>
      <c r="B69" s="25" t="s">
        <v>329</v>
      </c>
      <c r="C69" s="25" t="s">
        <v>39</v>
      </c>
      <c r="D69" s="25" t="s">
        <v>330</v>
      </c>
      <c r="E69" s="25" t="s">
        <v>41</v>
      </c>
      <c r="F69" s="25"/>
      <c r="G69" s="25"/>
      <c r="H69" s="25" t="s">
        <v>331</v>
      </c>
      <c r="I69" s="21" t="s">
        <v>332</v>
      </c>
      <c r="J69" s="21" t="s">
        <v>97</v>
      </c>
      <c r="K69" s="5"/>
      <c r="L69" s="6"/>
      <c r="M69" s="5">
        <f>K69-L69</f>
        <v>0</v>
      </c>
      <c r="N69" s="7"/>
      <c r="O69" s="5">
        <v>730000</v>
      </c>
      <c r="P69" s="8"/>
      <c r="Q69" s="7">
        <v>50000</v>
      </c>
      <c r="R69" s="7">
        <v>400000</v>
      </c>
      <c r="S69" s="7"/>
      <c r="T69" s="9">
        <v>11000000</v>
      </c>
      <c r="U69" s="9"/>
      <c r="V69" s="9">
        <f>4400000*U69</f>
        <v>0</v>
      </c>
      <c r="W69" s="10">
        <f>AI69*8%</f>
        <v>384000</v>
      </c>
      <c r="X69" s="10">
        <f>AI69*1.5%</f>
        <v>72000</v>
      </c>
      <c r="Y69" s="10">
        <f>AI69*1%</f>
        <v>48000</v>
      </c>
      <c r="Z69" s="10">
        <f>AI69*1%</f>
        <v>48000</v>
      </c>
      <c r="AA69" s="11">
        <f>SUM(L69:N69)+S69-T69-SUM(V69:Y69)</f>
        <v>-11504000</v>
      </c>
      <c r="AB69" s="5">
        <f>ROUND(IF(AA69&gt;0,IF(AA69&gt;80000000,(AA69-80000000)*35%+18150000,IF(AA69&gt;52000000,(AA69-52000000)*30%+9750000,IF(AA69&gt;32000000,(AA69-32000000)*25%+4750000,IF(AA69&gt;18000000,(AA69-18000000)*20%+1950000,IF(AA69&gt;10000000,(AA69-10000000)*15%+750000,IF(AA69&gt;5000000,(AA69-5000000)*10%+250000,AA69*5%)))))),0),0)</f>
        <v>0</v>
      </c>
      <c r="AC69" s="5"/>
      <c r="AD69" s="12">
        <f>ROUND(SUM(L69:S69)-SUM(W69:Z69)-AB69+AC69,0)</f>
        <v>628000</v>
      </c>
      <c r="AE69" s="13"/>
      <c r="AF69" s="12">
        <f>SUM(L69:S69)</f>
        <v>1180000</v>
      </c>
      <c r="AG69" s="12">
        <f>SUM(L69+N69)*23.5%</f>
        <v>0</v>
      </c>
      <c r="AH69" s="12">
        <f>SUM(AF69:AG69)</f>
        <v>1180000</v>
      </c>
      <c r="AI69" s="12">
        <f>IF(L69+N69&lt;4800000,4800000,MIN(29800000,L69+N69))</f>
        <v>4800000</v>
      </c>
    </row>
    <row r="70" spans="1:35" ht="15">
      <c r="A70" s="4" t="s">
        <v>333</v>
      </c>
      <c r="B70" s="25" t="s">
        <v>334</v>
      </c>
      <c r="C70" s="25" t="s">
        <v>39</v>
      </c>
      <c r="D70" s="25" t="s">
        <v>335</v>
      </c>
      <c r="E70" s="25" t="s">
        <v>41</v>
      </c>
      <c r="F70" s="25"/>
      <c r="G70" s="25"/>
      <c r="H70" s="25" t="s">
        <v>331</v>
      </c>
      <c r="I70" s="21" t="s">
        <v>336</v>
      </c>
      <c r="J70" s="21" t="s">
        <v>97</v>
      </c>
      <c r="K70" s="5"/>
      <c r="L70" s="6"/>
      <c r="M70" s="5">
        <f>K70-L70</f>
        <v>0</v>
      </c>
      <c r="N70" s="7"/>
      <c r="O70" s="5">
        <v>730000</v>
      </c>
      <c r="P70" s="8"/>
      <c r="Q70" s="7">
        <v>50000</v>
      </c>
      <c r="R70" s="7">
        <v>400000</v>
      </c>
      <c r="S70" s="7"/>
      <c r="T70" s="9">
        <v>11000000</v>
      </c>
      <c r="U70" s="9"/>
      <c r="V70" s="9">
        <f>4400000*U70</f>
        <v>0</v>
      </c>
      <c r="W70" s="10">
        <f>AI70*8%</f>
        <v>384000</v>
      </c>
      <c r="X70" s="10">
        <f>AI70*1.5%</f>
        <v>72000</v>
      </c>
      <c r="Y70" s="10">
        <f>AI70*1%</f>
        <v>48000</v>
      </c>
      <c r="Z70" s="10">
        <f>AI70*1%</f>
        <v>48000</v>
      </c>
      <c r="AA70" s="11">
        <f>SUM(L70:N70)+S70-T70-SUM(V70:Y70)</f>
        <v>-11504000</v>
      </c>
      <c r="AB70" s="5">
        <f>ROUND(IF(AA70&gt;0,IF(AA70&gt;80000000,(AA70-80000000)*35%+18150000,IF(AA70&gt;52000000,(AA70-52000000)*30%+9750000,IF(AA70&gt;32000000,(AA70-32000000)*25%+4750000,IF(AA70&gt;18000000,(AA70-18000000)*20%+1950000,IF(AA70&gt;10000000,(AA70-10000000)*15%+750000,IF(AA70&gt;5000000,(AA70-5000000)*10%+250000,AA70*5%)))))),0),0)</f>
        <v>0</v>
      </c>
      <c r="AC70" s="5"/>
      <c r="AD70" s="12">
        <f>ROUND(SUM(L70:S70)-SUM(W70:Z70)-AB70+AC70,0)</f>
        <v>628000</v>
      </c>
      <c r="AE70" s="13"/>
      <c r="AF70" s="12">
        <f>SUM(L70:S70)</f>
        <v>1180000</v>
      </c>
      <c r="AG70" s="12">
        <f>SUM(L70+N70)*23.5%</f>
        <v>0</v>
      </c>
      <c r="AH70" s="12">
        <f>SUM(AF70:AG70)</f>
        <v>1180000</v>
      </c>
      <c r="AI70" s="12">
        <f>IF(L70+N70&lt;4800000,4800000,MIN(29800000,L70+N70))</f>
        <v>4800000</v>
      </c>
    </row>
    <row r="71" spans="1:35" ht="15">
      <c r="A71" s="4" t="s">
        <v>337</v>
      </c>
      <c r="B71" s="25" t="s">
        <v>338</v>
      </c>
      <c r="C71" s="25" t="s">
        <v>39</v>
      </c>
      <c r="D71" s="25" t="s">
        <v>339</v>
      </c>
      <c r="E71" s="25" t="s">
        <v>41</v>
      </c>
      <c r="F71" s="25"/>
      <c r="G71" s="25"/>
      <c r="H71" s="25" t="s">
        <v>331</v>
      </c>
      <c r="I71" s="21" t="s">
        <v>340</v>
      </c>
      <c r="J71" s="21" t="s">
        <v>97</v>
      </c>
      <c r="K71" s="5"/>
      <c r="L71" s="6"/>
      <c r="M71" s="5">
        <f>K71-L71</f>
        <v>0</v>
      </c>
      <c r="N71" s="7"/>
      <c r="O71" s="5">
        <v>730000</v>
      </c>
      <c r="P71" s="8"/>
      <c r="Q71" s="7">
        <v>50000</v>
      </c>
      <c r="R71" s="7">
        <v>400000</v>
      </c>
      <c r="S71" s="7"/>
      <c r="T71" s="9">
        <v>11000000</v>
      </c>
      <c r="U71" s="9"/>
      <c r="V71" s="9">
        <f>4400000*U71</f>
        <v>0</v>
      </c>
      <c r="W71" s="10">
        <f>AI71*8%</f>
        <v>384000</v>
      </c>
      <c r="X71" s="10">
        <f>AI71*1.5%</f>
        <v>72000</v>
      </c>
      <c r="Y71" s="10">
        <f>AI71*1%</f>
        <v>48000</v>
      </c>
      <c r="Z71" s="10">
        <f>AI71*1%</f>
        <v>48000</v>
      </c>
      <c r="AA71" s="11">
        <f>SUM(L71:N71)+S71-T71-SUM(V71:Y71)</f>
        <v>-11504000</v>
      </c>
      <c r="AB71" s="5">
        <f>ROUND(IF(AA71&gt;0,IF(AA71&gt;80000000,(AA71-80000000)*35%+18150000,IF(AA71&gt;52000000,(AA71-52000000)*30%+9750000,IF(AA71&gt;32000000,(AA71-32000000)*25%+4750000,IF(AA71&gt;18000000,(AA71-18000000)*20%+1950000,IF(AA71&gt;10000000,(AA71-10000000)*15%+750000,IF(AA71&gt;5000000,(AA71-5000000)*10%+250000,AA71*5%)))))),0),0)</f>
        <v>0</v>
      </c>
      <c r="AC71" s="5"/>
      <c r="AD71" s="12">
        <f>ROUND(SUM(L71:S71)-SUM(W71:Z71)-AB71+AC71,0)</f>
        <v>628000</v>
      </c>
      <c r="AE71" s="13"/>
      <c r="AF71" s="12">
        <f>SUM(L71:S71)</f>
        <v>1180000</v>
      </c>
      <c r="AG71" s="12">
        <f>SUM(L71+N71)*23.5%</f>
        <v>0</v>
      </c>
      <c r="AH71" s="12">
        <f>SUM(AF71:AG71)</f>
        <v>1180000</v>
      </c>
      <c r="AI71" s="12">
        <f>IF(L71+N71&lt;4800000,4800000,MIN(29800000,L71+N71))</f>
        <v>4800000</v>
      </c>
    </row>
    <row r="72" spans="1:35" ht="15">
      <c r="A72" s="4" t="s">
        <v>341</v>
      </c>
      <c r="B72" s="25" t="s">
        <v>342</v>
      </c>
      <c r="C72" s="25" t="s">
        <v>39</v>
      </c>
      <c r="D72" s="25" t="s">
        <v>343</v>
      </c>
      <c r="E72" s="25" t="s">
        <v>41</v>
      </c>
      <c r="F72" s="25"/>
      <c r="G72" s="25"/>
      <c r="H72" s="25" t="s">
        <v>331</v>
      </c>
      <c r="I72" s="21" t="s">
        <v>344</v>
      </c>
      <c r="J72" s="21" t="s">
        <v>319</v>
      </c>
      <c r="K72" s="5"/>
      <c r="L72" s="6"/>
      <c r="M72" s="5">
        <f>K72-L72</f>
        <v>0</v>
      </c>
      <c r="N72" s="7"/>
      <c r="O72" s="5">
        <v>730000</v>
      </c>
      <c r="P72" s="8"/>
      <c r="Q72" s="7">
        <v>50000</v>
      </c>
      <c r="R72" s="7">
        <v>400000</v>
      </c>
      <c r="S72" s="7"/>
      <c r="T72" s="9">
        <v>11000000</v>
      </c>
      <c r="U72" s="9"/>
      <c r="V72" s="9">
        <f>4400000*U72</f>
        <v>0</v>
      </c>
      <c r="W72" s="10">
        <f>AI72*8%</f>
        <v>384000</v>
      </c>
      <c r="X72" s="10">
        <f>AI72*1.5%</f>
        <v>72000</v>
      </c>
      <c r="Y72" s="10">
        <f>AI72*1%</f>
        <v>48000</v>
      </c>
      <c r="Z72" s="10">
        <f>AI72*1%</f>
        <v>48000</v>
      </c>
      <c r="AA72" s="11">
        <f>SUM(L72:N72)+S72-T72-SUM(V72:Y72)</f>
        <v>-11504000</v>
      </c>
      <c r="AB72" s="5">
        <f>ROUND(IF(AA72&gt;0,IF(AA72&gt;80000000,(AA72-80000000)*35%+18150000,IF(AA72&gt;52000000,(AA72-52000000)*30%+9750000,IF(AA72&gt;32000000,(AA72-32000000)*25%+4750000,IF(AA72&gt;18000000,(AA72-18000000)*20%+1950000,IF(AA72&gt;10000000,(AA72-10000000)*15%+750000,IF(AA72&gt;5000000,(AA72-5000000)*10%+250000,AA72*5%)))))),0),0)</f>
        <v>0</v>
      </c>
      <c r="AC72" s="5"/>
      <c r="AD72" s="12">
        <f>ROUND(SUM(L72:S72)-SUM(W72:Z72)-AB72+AC72,0)</f>
        <v>628000</v>
      </c>
      <c r="AE72" s="13"/>
      <c r="AF72" s="12">
        <f>SUM(L72:S72)</f>
        <v>1180000</v>
      </c>
      <c r="AG72" s="12">
        <f>SUM(L72+N72)*23.5%</f>
        <v>0</v>
      </c>
      <c r="AH72" s="12">
        <f>SUM(AF72:AG72)</f>
        <v>1180000</v>
      </c>
      <c r="AI72" s="12">
        <f>IF(L72+N72&lt;4800000,4800000,MIN(29800000,L72+N72))</f>
        <v>4800000</v>
      </c>
    </row>
    <row r="73" spans="1:35" ht="15">
      <c r="A73" s="4" t="s">
        <v>345</v>
      </c>
      <c r="B73" s="25" t="s">
        <v>346</v>
      </c>
      <c r="C73" s="25" t="s">
        <v>39</v>
      </c>
      <c r="D73" s="25" t="s">
        <v>347</v>
      </c>
      <c r="E73" s="25" t="s">
        <v>41</v>
      </c>
      <c r="F73" s="25"/>
      <c r="G73" s="25"/>
      <c r="H73" s="25" t="s">
        <v>331</v>
      </c>
      <c r="I73" s="21" t="s">
        <v>348</v>
      </c>
      <c r="J73" s="21" t="s">
        <v>349</v>
      </c>
      <c r="K73" s="5"/>
      <c r="L73" s="6"/>
      <c r="M73" s="5">
        <f>K73-L73</f>
        <v>0</v>
      </c>
      <c r="N73" s="7"/>
      <c r="O73" s="5">
        <v>730000</v>
      </c>
      <c r="P73" s="8"/>
      <c r="Q73" s="7">
        <v>50000</v>
      </c>
      <c r="R73" s="7">
        <v>400000</v>
      </c>
      <c r="S73" s="7"/>
      <c r="T73" s="9">
        <v>11000000</v>
      </c>
      <c r="U73" s="9"/>
      <c r="V73" s="9">
        <f>4400000*U73</f>
        <v>0</v>
      </c>
      <c r="W73" s="10">
        <f>AI73*8%</f>
        <v>384000</v>
      </c>
      <c r="X73" s="10">
        <f>AI73*1.5%</f>
        <v>72000</v>
      </c>
      <c r="Y73" s="10">
        <f>AI73*1%</f>
        <v>48000</v>
      </c>
      <c r="Z73" s="10">
        <f>AI73*1%</f>
        <v>48000</v>
      </c>
      <c r="AA73" s="11">
        <f>SUM(L73:N73)+S73-T73-SUM(V73:Y73)</f>
        <v>-11504000</v>
      </c>
      <c r="AB73" s="5">
        <f>ROUND(IF(AA73&gt;0,IF(AA73&gt;80000000,(AA73-80000000)*35%+18150000,IF(AA73&gt;52000000,(AA73-52000000)*30%+9750000,IF(AA73&gt;32000000,(AA73-32000000)*25%+4750000,IF(AA73&gt;18000000,(AA73-18000000)*20%+1950000,IF(AA73&gt;10000000,(AA73-10000000)*15%+750000,IF(AA73&gt;5000000,(AA73-5000000)*10%+250000,AA73*5%)))))),0),0)</f>
        <v>0</v>
      </c>
      <c r="AC73" s="5"/>
      <c r="AD73" s="12">
        <f>ROUND(SUM(L73:S73)-SUM(W73:Z73)-AB73+AC73,0)</f>
        <v>628000</v>
      </c>
      <c r="AE73" s="13"/>
      <c r="AF73" s="12">
        <f>SUM(L73:S73)</f>
        <v>1180000</v>
      </c>
      <c r="AG73" s="12">
        <f>SUM(L73+N73)*23.5%</f>
        <v>0</v>
      </c>
      <c r="AH73" s="12">
        <f>SUM(AF73:AG73)</f>
        <v>1180000</v>
      </c>
      <c r="AI73" s="12">
        <f>IF(L73+N73&lt;4800000,4800000,MIN(29800000,L73+N73))</f>
        <v>4800000</v>
      </c>
    </row>
    <row r="74" spans="1:35" ht="15">
      <c r="A74" s="4" t="s">
        <v>350</v>
      </c>
      <c r="B74" s="25" t="s">
        <v>351</v>
      </c>
      <c r="C74" s="25" t="s">
        <v>39</v>
      </c>
      <c r="D74" s="25" t="s">
        <v>352</v>
      </c>
      <c r="E74" s="25" t="s">
        <v>41</v>
      </c>
      <c r="F74" s="25"/>
      <c r="G74" s="25"/>
      <c r="H74" s="25" t="s">
        <v>331</v>
      </c>
      <c r="I74" s="21" t="s">
        <v>353</v>
      </c>
      <c r="J74" s="21" t="s">
        <v>354</v>
      </c>
      <c r="K74" s="5"/>
      <c r="L74" s="6"/>
      <c r="M74" s="5">
        <f>K74-L74</f>
        <v>0</v>
      </c>
      <c r="N74" s="7"/>
      <c r="O74" s="5">
        <v>730000</v>
      </c>
      <c r="P74" s="8"/>
      <c r="Q74" s="7">
        <v>50000</v>
      </c>
      <c r="R74" s="7">
        <v>400000</v>
      </c>
      <c r="S74" s="7"/>
      <c r="T74" s="9">
        <v>11000000</v>
      </c>
      <c r="U74" s="9"/>
      <c r="V74" s="9">
        <f>4400000*U74</f>
        <v>0</v>
      </c>
      <c r="W74" s="10">
        <f>AI74*8%</f>
        <v>384000</v>
      </c>
      <c r="X74" s="10">
        <f>AI74*1.5%</f>
        <v>72000</v>
      </c>
      <c r="Y74" s="10">
        <f>AI74*1%</f>
        <v>48000</v>
      </c>
      <c r="Z74" s="10">
        <f>AI74*1%</f>
        <v>48000</v>
      </c>
      <c r="AA74" s="11">
        <f>SUM(L74:N74)+S74-T74-SUM(V74:Y74)</f>
        <v>-11504000</v>
      </c>
      <c r="AB74" s="5">
        <f>ROUND(IF(AA74&gt;0,IF(AA74&gt;80000000,(AA74-80000000)*35%+18150000,IF(AA74&gt;52000000,(AA74-52000000)*30%+9750000,IF(AA74&gt;32000000,(AA74-32000000)*25%+4750000,IF(AA74&gt;18000000,(AA74-18000000)*20%+1950000,IF(AA74&gt;10000000,(AA74-10000000)*15%+750000,IF(AA74&gt;5000000,(AA74-5000000)*10%+250000,AA74*5%)))))),0),0)</f>
        <v>0</v>
      </c>
      <c r="AC74" s="5"/>
      <c r="AD74" s="12">
        <f>ROUND(SUM(L74:S74)-SUM(W74:Z74)-AB74+AC74,0)</f>
        <v>628000</v>
      </c>
      <c r="AE74" s="13"/>
      <c r="AF74" s="12">
        <f>SUM(L74:S74)</f>
        <v>1180000</v>
      </c>
      <c r="AG74" s="12">
        <f>SUM(L74+N74)*23.5%</f>
        <v>0</v>
      </c>
      <c r="AH74" s="12">
        <f>SUM(AF74:AG74)</f>
        <v>1180000</v>
      </c>
      <c r="AI74" s="12">
        <f>IF(L74+N74&lt;4800000,4800000,MIN(29800000,L74+N74))</f>
        <v>4800000</v>
      </c>
    </row>
    <row r="75" spans="1:35" ht="15">
      <c r="A75" s="4" t="s">
        <v>355</v>
      </c>
      <c r="B75" s="25" t="s">
        <v>356</v>
      </c>
      <c r="C75" s="25" t="s">
        <v>39</v>
      </c>
      <c r="D75" s="25" t="s">
        <v>357</v>
      </c>
      <c r="E75" s="25" t="s">
        <v>41</v>
      </c>
      <c r="F75" s="25"/>
      <c r="G75" s="25"/>
      <c r="H75" s="25" t="s">
        <v>331</v>
      </c>
      <c r="I75" s="21" t="s">
        <v>358</v>
      </c>
      <c r="J75" s="21" t="s">
        <v>97</v>
      </c>
      <c r="K75" s="5"/>
      <c r="L75" s="6"/>
      <c r="M75" s="5">
        <f>K75-L75</f>
        <v>0</v>
      </c>
      <c r="N75" s="7"/>
      <c r="O75" s="5">
        <v>730000</v>
      </c>
      <c r="P75" s="8"/>
      <c r="Q75" s="7">
        <v>50000</v>
      </c>
      <c r="R75" s="7">
        <v>400000</v>
      </c>
      <c r="S75" s="7"/>
      <c r="T75" s="9">
        <v>11000000</v>
      </c>
      <c r="U75" s="9"/>
      <c r="V75" s="9">
        <f>4400000*U75</f>
        <v>0</v>
      </c>
      <c r="W75" s="10">
        <f>AI75*8%</f>
        <v>384000</v>
      </c>
      <c r="X75" s="10">
        <f>AI75*1.5%</f>
        <v>72000</v>
      </c>
      <c r="Y75" s="10">
        <f>AI75*1%</f>
        <v>48000</v>
      </c>
      <c r="Z75" s="10">
        <f>AI75*1%</f>
        <v>48000</v>
      </c>
      <c r="AA75" s="11">
        <f>SUM(L75:N75)+S75-T75-SUM(V75:Y75)</f>
        <v>-11504000</v>
      </c>
      <c r="AB75" s="5">
        <f>ROUND(IF(AA75&gt;0,IF(AA75&gt;80000000,(AA75-80000000)*35%+18150000,IF(AA75&gt;52000000,(AA75-52000000)*30%+9750000,IF(AA75&gt;32000000,(AA75-32000000)*25%+4750000,IF(AA75&gt;18000000,(AA75-18000000)*20%+1950000,IF(AA75&gt;10000000,(AA75-10000000)*15%+750000,IF(AA75&gt;5000000,(AA75-5000000)*10%+250000,AA75*5%)))))),0),0)</f>
        <v>0</v>
      </c>
      <c r="AC75" s="5"/>
      <c r="AD75" s="12">
        <f>ROUND(SUM(L75:S75)-SUM(W75:Z75)-AB75+AC75,0)</f>
        <v>628000</v>
      </c>
      <c r="AE75" s="13"/>
      <c r="AF75" s="12">
        <f>SUM(L75:S75)</f>
        <v>1180000</v>
      </c>
      <c r="AG75" s="12">
        <f>SUM(L75+N75)*23.5%</f>
        <v>0</v>
      </c>
      <c r="AH75" s="12">
        <f>SUM(AF75:AG75)</f>
        <v>1180000</v>
      </c>
      <c r="AI75" s="12">
        <f>IF(L75+N75&lt;4800000,4800000,MIN(29800000,L75+N75))</f>
        <v>4800000</v>
      </c>
    </row>
    <row r="76" spans="1:35" ht="15">
      <c r="A76" s="4" t="s">
        <v>359</v>
      </c>
      <c r="B76" s="25" t="s">
        <v>360</v>
      </c>
      <c r="C76" s="25" t="s">
        <v>39</v>
      </c>
      <c r="D76" s="25" t="s">
        <v>361</v>
      </c>
      <c r="E76" s="25" t="s">
        <v>41</v>
      </c>
      <c r="F76" s="25"/>
      <c r="G76" s="25"/>
      <c r="H76" s="25" t="s">
        <v>331</v>
      </c>
      <c r="I76" s="21" t="s">
        <v>362</v>
      </c>
      <c r="J76" s="21" t="s">
        <v>97</v>
      </c>
      <c r="K76" s="5"/>
      <c r="L76" s="6"/>
      <c r="M76" s="5">
        <f>K76-L76</f>
        <v>0</v>
      </c>
      <c r="N76" s="7"/>
      <c r="O76" s="5">
        <v>730000</v>
      </c>
      <c r="P76" s="8"/>
      <c r="Q76" s="7">
        <v>50000</v>
      </c>
      <c r="R76" s="7">
        <v>400000</v>
      </c>
      <c r="S76" s="7"/>
      <c r="T76" s="9">
        <v>11000000</v>
      </c>
      <c r="U76" s="9"/>
      <c r="V76" s="9">
        <f>4400000*U76</f>
        <v>0</v>
      </c>
      <c r="W76" s="10">
        <f>AI76*8%</f>
        <v>384000</v>
      </c>
      <c r="X76" s="10">
        <f>AI76*1.5%</f>
        <v>72000</v>
      </c>
      <c r="Y76" s="10">
        <f>AI76*1%</f>
        <v>48000</v>
      </c>
      <c r="Z76" s="10">
        <f>AI76*1%</f>
        <v>48000</v>
      </c>
      <c r="AA76" s="11">
        <f>SUM(L76:N76)+S76-T76-SUM(V76:Y76)</f>
        <v>-11504000</v>
      </c>
      <c r="AB76" s="5">
        <f>ROUND(IF(AA76&gt;0,IF(AA76&gt;80000000,(AA76-80000000)*35%+18150000,IF(AA76&gt;52000000,(AA76-52000000)*30%+9750000,IF(AA76&gt;32000000,(AA76-32000000)*25%+4750000,IF(AA76&gt;18000000,(AA76-18000000)*20%+1950000,IF(AA76&gt;10000000,(AA76-10000000)*15%+750000,IF(AA76&gt;5000000,(AA76-5000000)*10%+250000,AA76*5%)))))),0),0)</f>
        <v>0</v>
      </c>
      <c r="AC76" s="5"/>
      <c r="AD76" s="12">
        <f>ROUND(SUM(L76:S76)-SUM(W76:Z76)-AB76+AC76,0)</f>
        <v>628000</v>
      </c>
      <c r="AE76" s="13"/>
      <c r="AF76" s="12">
        <f>SUM(L76:S76)</f>
        <v>1180000</v>
      </c>
      <c r="AG76" s="12">
        <f>SUM(L76+N76)*23.5%</f>
        <v>0</v>
      </c>
      <c r="AH76" s="12">
        <f>SUM(AF76:AG76)</f>
        <v>1180000</v>
      </c>
      <c r="AI76" s="12">
        <f>IF(L76+N76&lt;4800000,4800000,MIN(29800000,L76+N76))</f>
        <v>4800000</v>
      </c>
    </row>
    <row r="77" spans="1:35" ht="15">
      <c r="A77" s="4" t="s">
        <v>363</v>
      </c>
      <c r="B77" s="25" t="s">
        <v>364</v>
      </c>
      <c r="C77" s="25" t="s">
        <v>39</v>
      </c>
      <c r="D77" s="25" t="s">
        <v>365</v>
      </c>
      <c r="E77" s="25" t="s">
        <v>41</v>
      </c>
      <c r="F77" s="25"/>
      <c r="G77" s="25"/>
      <c r="H77" s="25" t="s">
        <v>331</v>
      </c>
      <c r="I77" s="21" t="s">
        <v>366</v>
      </c>
      <c r="J77" s="21" t="s">
        <v>60</v>
      </c>
      <c r="K77" s="5"/>
      <c r="L77" s="6"/>
      <c r="M77" s="5">
        <f>K77-L77</f>
        <v>0</v>
      </c>
      <c r="N77" s="7"/>
      <c r="O77" s="5">
        <v>730000</v>
      </c>
      <c r="P77" s="8"/>
      <c r="Q77" s="7">
        <v>50000</v>
      </c>
      <c r="R77" s="7">
        <v>400000</v>
      </c>
      <c r="S77" s="7"/>
      <c r="T77" s="9">
        <v>11000000</v>
      </c>
      <c r="U77" s="9"/>
      <c r="V77" s="9">
        <f>4400000*U77</f>
        <v>0</v>
      </c>
      <c r="W77" s="10">
        <f>AI77*8%</f>
        <v>384000</v>
      </c>
      <c r="X77" s="10">
        <f>AI77*1.5%</f>
        <v>72000</v>
      </c>
      <c r="Y77" s="10">
        <f>AI77*1%</f>
        <v>48000</v>
      </c>
      <c r="Z77" s="10">
        <f>AI77*1%</f>
        <v>48000</v>
      </c>
      <c r="AA77" s="11">
        <f>SUM(L77:N77)+S77-T77-SUM(V77:Y77)</f>
        <v>-11504000</v>
      </c>
      <c r="AB77" s="5">
        <f>ROUND(IF(AA77&gt;0,IF(AA77&gt;80000000,(AA77-80000000)*35%+18150000,IF(AA77&gt;52000000,(AA77-52000000)*30%+9750000,IF(AA77&gt;32000000,(AA77-32000000)*25%+4750000,IF(AA77&gt;18000000,(AA77-18000000)*20%+1950000,IF(AA77&gt;10000000,(AA77-10000000)*15%+750000,IF(AA77&gt;5000000,(AA77-5000000)*10%+250000,AA77*5%)))))),0),0)</f>
        <v>0</v>
      </c>
      <c r="AC77" s="5"/>
      <c r="AD77" s="12">
        <f>ROUND(SUM(L77:S77)-SUM(W77:Z77)-AB77+AC77,0)</f>
        <v>628000</v>
      </c>
      <c r="AE77" s="13"/>
      <c r="AF77" s="12">
        <f>SUM(L77:S77)</f>
        <v>1180000</v>
      </c>
      <c r="AG77" s="12">
        <f>SUM(L77+N77)*23.5%</f>
        <v>0</v>
      </c>
      <c r="AH77" s="12">
        <f>SUM(AF77:AG77)</f>
        <v>1180000</v>
      </c>
      <c r="AI77" s="12">
        <f>IF(L77+N77&lt;4800000,4800000,MIN(29800000,L77+N77))</f>
        <v>4800000</v>
      </c>
    </row>
    <row r="78" spans="1:35" ht="15">
      <c r="A78" s="4" t="s">
        <v>367</v>
      </c>
      <c r="B78" s="25" t="s">
        <v>368</v>
      </c>
      <c r="C78" s="25" t="s">
        <v>39</v>
      </c>
      <c r="D78" s="25" t="s">
        <v>369</v>
      </c>
      <c r="E78" s="25" t="s">
        <v>41</v>
      </c>
      <c r="F78" s="25"/>
      <c r="G78" s="25"/>
      <c r="H78" s="25" t="s">
        <v>331</v>
      </c>
      <c r="I78" s="21" t="s">
        <v>370</v>
      </c>
      <c r="J78" s="21" t="s">
        <v>97</v>
      </c>
      <c r="K78" s="5"/>
      <c r="L78" s="6"/>
      <c r="M78" s="5">
        <f>K78-L78</f>
        <v>0</v>
      </c>
      <c r="N78" s="7"/>
      <c r="O78" s="5">
        <v>730000</v>
      </c>
      <c r="P78" s="8"/>
      <c r="Q78" s="7">
        <v>50000</v>
      </c>
      <c r="R78" s="7">
        <v>400000</v>
      </c>
      <c r="S78" s="7"/>
      <c r="T78" s="9">
        <v>11000000</v>
      </c>
      <c r="U78" s="9"/>
      <c r="V78" s="9">
        <f>4400000*U78</f>
        <v>0</v>
      </c>
      <c r="W78" s="10">
        <f>AI78*8%</f>
        <v>384000</v>
      </c>
      <c r="X78" s="10">
        <f>AI78*1.5%</f>
        <v>72000</v>
      </c>
      <c r="Y78" s="10">
        <f>AI78*1%</f>
        <v>48000</v>
      </c>
      <c r="Z78" s="10">
        <f>AI78*1%</f>
        <v>48000</v>
      </c>
      <c r="AA78" s="11">
        <f>SUM(L78:N78)+S78-T78-SUM(V78:Y78)</f>
        <v>-11504000</v>
      </c>
      <c r="AB78" s="5">
        <f>ROUND(IF(AA78&gt;0,IF(AA78&gt;80000000,(AA78-80000000)*35%+18150000,IF(AA78&gt;52000000,(AA78-52000000)*30%+9750000,IF(AA78&gt;32000000,(AA78-32000000)*25%+4750000,IF(AA78&gt;18000000,(AA78-18000000)*20%+1950000,IF(AA78&gt;10000000,(AA78-10000000)*15%+750000,IF(AA78&gt;5000000,(AA78-5000000)*10%+250000,AA78*5%)))))),0),0)</f>
        <v>0</v>
      </c>
      <c r="AC78" s="5"/>
      <c r="AD78" s="12">
        <f>ROUND(SUM(L78:S78)-SUM(W78:Z78)-AB78+AC78,0)</f>
        <v>628000</v>
      </c>
      <c r="AE78" s="13"/>
      <c r="AF78" s="12">
        <f>SUM(L78:S78)</f>
        <v>1180000</v>
      </c>
      <c r="AG78" s="12">
        <f>SUM(L78+N78)*23.5%</f>
        <v>0</v>
      </c>
      <c r="AH78" s="12">
        <f>SUM(AF78:AG78)</f>
        <v>1180000</v>
      </c>
      <c r="AI78" s="12">
        <f>IF(L78+N78&lt;4800000,4800000,MIN(29800000,L78+N78))</f>
        <v>4800000</v>
      </c>
    </row>
    <row r="79" spans="1:35" ht="15">
      <c r="A79" s="4" t="s">
        <v>371</v>
      </c>
      <c r="B79" s="25" t="s">
        <v>372</v>
      </c>
      <c r="C79" s="25" t="s">
        <v>39</v>
      </c>
      <c r="D79" s="25" t="s">
        <v>373</v>
      </c>
      <c r="E79" s="25" t="s">
        <v>41</v>
      </c>
      <c r="F79" s="25"/>
      <c r="G79" s="25"/>
      <c r="H79" s="25" t="s">
        <v>331</v>
      </c>
      <c r="I79" s="21" t="s">
        <v>374</v>
      </c>
      <c r="J79" s="21" t="s">
        <v>97</v>
      </c>
      <c r="K79" s="5"/>
      <c r="L79" s="6"/>
      <c r="M79" s="5">
        <f>K79-L79</f>
        <v>0</v>
      </c>
      <c r="N79" s="7"/>
      <c r="O79" s="5">
        <v>730000</v>
      </c>
      <c r="P79" s="8"/>
      <c r="Q79" s="7">
        <v>50000</v>
      </c>
      <c r="R79" s="7">
        <v>400000</v>
      </c>
      <c r="S79" s="7"/>
      <c r="T79" s="9">
        <v>11000000</v>
      </c>
      <c r="U79" s="9"/>
      <c r="V79" s="9">
        <f>4400000*U79</f>
        <v>0</v>
      </c>
      <c r="W79" s="10">
        <f>AI79*8%</f>
        <v>384000</v>
      </c>
      <c r="X79" s="10">
        <f>AI79*1.5%</f>
        <v>72000</v>
      </c>
      <c r="Y79" s="10">
        <f>AI79*1%</f>
        <v>48000</v>
      </c>
      <c r="Z79" s="10">
        <f>AI79*1%</f>
        <v>48000</v>
      </c>
      <c r="AA79" s="11">
        <f>SUM(L79:N79)+S79-T79-SUM(V79:Y79)</f>
        <v>-11504000</v>
      </c>
      <c r="AB79" s="5">
        <f>ROUND(IF(AA79&gt;0,IF(AA79&gt;80000000,(AA79-80000000)*35%+18150000,IF(AA79&gt;52000000,(AA79-52000000)*30%+9750000,IF(AA79&gt;32000000,(AA79-32000000)*25%+4750000,IF(AA79&gt;18000000,(AA79-18000000)*20%+1950000,IF(AA79&gt;10000000,(AA79-10000000)*15%+750000,IF(AA79&gt;5000000,(AA79-5000000)*10%+250000,AA79*5%)))))),0),0)</f>
        <v>0</v>
      </c>
      <c r="AC79" s="5"/>
      <c r="AD79" s="12">
        <f>ROUND(SUM(L79:S79)-SUM(W79:Z79)-AB79+AC79,0)</f>
        <v>628000</v>
      </c>
      <c r="AE79" s="13"/>
      <c r="AF79" s="12">
        <f>SUM(L79:S79)</f>
        <v>1180000</v>
      </c>
      <c r="AG79" s="12">
        <f>SUM(L79+N79)*23.5%</f>
        <v>0</v>
      </c>
      <c r="AH79" s="12">
        <f>SUM(AF79:AG79)</f>
        <v>1180000</v>
      </c>
      <c r="AI79" s="12">
        <f>IF(L79+N79&lt;4800000,4800000,MIN(29800000,L79+N79))</f>
        <v>4800000</v>
      </c>
    </row>
    <row r="80" spans="1:35" ht="15">
      <c r="A80" s="4" t="s">
        <v>375</v>
      </c>
      <c r="B80" s="25" t="s">
        <v>376</v>
      </c>
      <c r="C80" s="25" t="s">
        <v>39</v>
      </c>
      <c r="D80" s="25" t="s">
        <v>377</v>
      </c>
      <c r="E80" s="25" t="s">
        <v>41</v>
      </c>
      <c r="F80" s="25"/>
      <c r="G80" s="25"/>
      <c r="H80" s="25" t="s">
        <v>331</v>
      </c>
      <c r="I80" s="21" t="s">
        <v>378</v>
      </c>
      <c r="J80" s="21" t="s">
        <v>97</v>
      </c>
      <c r="K80" s="5"/>
      <c r="L80" s="6"/>
      <c r="M80" s="5">
        <f>K80-L80</f>
        <v>0</v>
      </c>
      <c r="N80" s="7"/>
      <c r="O80" s="5">
        <v>730000</v>
      </c>
      <c r="P80" s="8"/>
      <c r="Q80" s="7">
        <v>50000</v>
      </c>
      <c r="R80" s="7">
        <v>400000</v>
      </c>
      <c r="S80" s="7"/>
      <c r="T80" s="9">
        <v>11000000</v>
      </c>
      <c r="U80" s="9"/>
      <c r="V80" s="9">
        <f>4400000*U80</f>
        <v>0</v>
      </c>
      <c r="W80" s="10">
        <f>AI80*8%</f>
        <v>384000</v>
      </c>
      <c r="X80" s="10">
        <f>AI80*1.5%</f>
        <v>72000</v>
      </c>
      <c r="Y80" s="10">
        <f>AI80*1%</f>
        <v>48000</v>
      </c>
      <c r="Z80" s="10">
        <f>AI80*1%</f>
        <v>48000</v>
      </c>
      <c r="AA80" s="11">
        <f>SUM(L80:N80)+S80-T80-SUM(V80:Y80)</f>
        <v>-11504000</v>
      </c>
      <c r="AB80" s="5">
        <f>ROUND(IF(AA80&gt;0,IF(AA80&gt;80000000,(AA80-80000000)*35%+18150000,IF(AA80&gt;52000000,(AA80-52000000)*30%+9750000,IF(AA80&gt;32000000,(AA80-32000000)*25%+4750000,IF(AA80&gt;18000000,(AA80-18000000)*20%+1950000,IF(AA80&gt;10000000,(AA80-10000000)*15%+750000,IF(AA80&gt;5000000,(AA80-5000000)*10%+250000,AA80*5%)))))),0),0)</f>
        <v>0</v>
      </c>
      <c r="AC80" s="5"/>
      <c r="AD80" s="12">
        <f>ROUND(SUM(L80:S80)-SUM(W80:Z80)-AB80+AC80,0)</f>
        <v>628000</v>
      </c>
      <c r="AE80" s="13"/>
      <c r="AF80" s="12">
        <f>SUM(L80:S80)</f>
        <v>1180000</v>
      </c>
      <c r="AG80" s="12">
        <f>SUM(L80+N80)*23.5%</f>
        <v>0</v>
      </c>
      <c r="AH80" s="12">
        <f>SUM(AF80:AG80)</f>
        <v>1180000</v>
      </c>
      <c r="AI80" s="12">
        <f>IF(L80+N80&lt;4800000,4800000,MIN(29800000,L80+N80))</f>
        <v>4800000</v>
      </c>
    </row>
    <row r="81" spans="1:35" ht="15">
      <c r="A81" s="4" t="s">
        <v>379</v>
      </c>
      <c r="B81" s="25" t="s">
        <v>380</v>
      </c>
      <c r="C81" s="25" t="s">
        <v>39</v>
      </c>
      <c r="D81" s="25" t="s">
        <v>381</v>
      </c>
      <c r="E81" s="25" t="s">
        <v>41</v>
      </c>
      <c r="F81" s="25"/>
      <c r="G81" s="25"/>
      <c r="H81" s="25" t="s">
        <v>331</v>
      </c>
      <c r="I81" s="21" t="s">
        <v>382</v>
      </c>
      <c r="J81" s="21" t="s">
        <v>97</v>
      </c>
      <c r="K81" s="5"/>
      <c r="L81" s="6"/>
      <c r="M81" s="5">
        <f>K81-L81</f>
        <v>0</v>
      </c>
      <c r="N81" s="7"/>
      <c r="O81" s="5">
        <v>730000</v>
      </c>
      <c r="P81" s="8"/>
      <c r="Q81" s="7">
        <v>50000</v>
      </c>
      <c r="R81" s="7">
        <v>400000</v>
      </c>
      <c r="S81" s="7"/>
      <c r="T81" s="9">
        <v>11000000</v>
      </c>
      <c r="U81" s="9"/>
      <c r="V81" s="9">
        <f>4400000*U81</f>
        <v>0</v>
      </c>
      <c r="W81" s="10">
        <f>AI81*8%</f>
        <v>384000</v>
      </c>
      <c r="X81" s="10">
        <f>AI81*1.5%</f>
        <v>72000</v>
      </c>
      <c r="Y81" s="10">
        <f>AI81*1%</f>
        <v>48000</v>
      </c>
      <c r="Z81" s="10">
        <f>AI81*1%</f>
        <v>48000</v>
      </c>
      <c r="AA81" s="11">
        <f>SUM(L81:N81)+S81-T81-SUM(V81:Y81)</f>
        <v>-11504000</v>
      </c>
      <c r="AB81" s="5">
        <f>ROUND(IF(AA81&gt;0,IF(AA81&gt;80000000,(AA81-80000000)*35%+18150000,IF(AA81&gt;52000000,(AA81-52000000)*30%+9750000,IF(AA81&gt;32000000,(AA81-32000000)*25%+4750000,IF(AA81&gt;18000000,(AA81-18000000)*20%+1950000,IF(AA81&gt;10000000,(AA81-10000000)*15%+750000,IF(AA81&gt;5000000,(AA81-5000000)*10%+250000,AA81*5%)))))),0),0)</f>
        <v>0</v>
      </c>
      <c r="AC81" s="5"/>
      <c r="AD81" s="12">
        <f>ROUND(SUM(L81:S81)-SUM(W81:Z81)-AB81+AC81,0)</f>
        <v>628000</v>
      </c>
      <c r="AE81" s="13"/>
      <c r="AF81" s="12">
        <f>SUM(L81:S81)</f>
        <v>1180000</v>
      </c>
      <c r="AG81" s="12">
        <f>SUM(L81+N81)*23.5%</f>
        <v>0</v>
      </c>
      <c r="AH81" s="12">
        <f>SUM(AF81:AG81)</f>
        <v>1180000</v>
      </c>
      <c r="AI81" s="12">
        <f>IF(L81+N81&lt;4800000,4800000,MIN(29800000,L81+N81))</f>
        <v>4800000</v>
      </c>
    </row>
    <row r="82" spans="1:35" ht="15">
      <c r="A82" s="4" t="s">
        <v>383</v>
      </c>
      <c r="B82" s="25" t="s">
        <v>384</v>
      </c>
      <c r="C82" s="25" t="s">
        <v>39</v>
      </c>
      <c r="D82" s="25" t="s">
        <v>385</v>
      </c>
      <c r="E82" s="25" t="s">
        <v>41</v>
      </c>
      <c r="F82" s="25"/>
      <c r="G82" s="25"/>
      <c r="H82" s="25" t="s">
        <v>331</v>
      </c>
      <c r="I82" s="21" t="s">
        <v>386</v>
      </c>
      <c r="J82" s="21" t="s">
        <v>97</v>
      </c>
      <c r="K82" s="5"/>
      <c r="L82" s="6"/>
      <c r="M82" s="5">
        <f>K82-L82</f>
        <v>0</v>
      </c>
      <c r="N82" s="7"/>
      <c r="O82" s="5">
        <v>730000</v>
      </c>
      <c r="P82" s="8"/>
      <c r="Q82" s="7">
        <v>50000</v>
      </c>
      <c r="R82" s="7">
        <v>400000</v>
      </c>
      <c r="S82" s="7"/>
      <c r="T82" s="9">
        <v>11000000</v>
      </c>
      <c r="U82" s="9"/>
      <c r="V82" s="9">
        <f>4400000*U82</f>
        <v>0</v>
      </c>
      <c r="W82" s="10">
        <f>AI82*8%</f>
        <v>384000</v>
      </c>
      <c r="X82" s="10">
        <f>AI82*1.5%</f>
        <v>72000</v>
      </c>
      <c r="Y82" s="10">
        <f>AI82*1%</f>
        <v>48000</v>
      </c>
      <c r="Z82" s="10">
        <f>AI82*1%</f>
        <v>48000</v>
      </c>
      <c r="AA82" s="11">
        <f>SUM(L82:N82)+S82-T82-SUM(V82:Y82)</f>
        <v>-11504000</v>
      </c>
      <c r="AB82" s="5">
        <f>ROUND(IF(AA82&gt;0,IF(AA82&gt;80000000,(AA82-80000000)*35%+18150000,IF(AA82&gt;52000000,(AA82-52000000)*30%+9750000,IF(AA82&gt;32000000,(AA82-32000000)*25%+4750000,IF(AA82&gt;18000000,(AA82-18000000)*20%+1950000,IF(AA82&gt;10000000,(AA82-10000000)*15%+750000,IF(AA82&gt;5000000,(AA82-5000000)*10%+250000,AA82*5%)))))),0),0)</f>
        <v>0</v>
      </c>
      <c r="AC82" s="5"/>
      <c r="AD82" s="12">
        <f>ROUND(SUM(L82:S82)-SUM(W82:Z82)-AB82+AC82,0)</f>
        <v>628000</v>
      </c>
      <c r="AE82" s="13"/>
      <c r="AF82" s="12">
        <f>SUM(L82:S82)</f>
        <v>1180000</v>
      </c>
      <c r="AG82" s="12">
        <f>SUM(L82+N82)*23.5%</f>
        <v>0</v>
      </c>
      <c r="AH82" s="12">
        <f>SUM(AF82:AG82)</f>
        <v>1180000</v>
      </c>
      <c r="AI82" s="12">
        <f>IF(L82+N82&lt;4800000,4800000,MIN(29800000,L82+N82))</f>
        <v>4800000</v>
      </c>
    </row>
    <row r="83" spans="1:35" ht="15">
      <c r="A83" s="4" t="s">
        <v>387</v>
      </c>
      <c r="B83" s="25" t="s">
        <v>388</v>
      </c>
      <c r="C83" s="25" t="s">
        <v>39</v>
      </c>
      <c r="D83" s="25" t="s">
        <v>389</v>
      </c>
      <c r="E83" s="25" t="s">
        <v>41</v>
      </c>
      <c r="F83" s="25"/>
      <c r="G83" s="25"/>
      <c r="H83" s="25" t="s">
        <v>331</v>
      </c>
      <c r="I83" s="21" t="s">
        <v>390</v>
      </c>
      <c r="J83" s="21" t="s">
        <v>97</v>
      </c>
      <c r="K83" s="5"/>
      <c r="L83" s="6"/>
      <c r="M83" s="5">
        <f>K83-L83</f>
        <v>0</v>
      </c>
      <c r="N83" s="7"/>
      <c r="O83" s="5">
        <v>730000</v>
      </c>
      <c r="P83" s="8"/>
      <c r="Q83" s="7">
        <v>50000</v>
      </c>
      <c r="R83" s="7">
        <v>400000</v>
      </c>
      <c r="S83" s="7"/>
      <c r="T83" s="9">
        <v>11000000</v>
      </c>
      <c r="U83" s="9"/>
      <c r="V83" s="9">
        <f>4400000*U83</f>
        <v>0</v>
      </c>
      <c r="W83" s="10">
        <f>AI83*8%</f>
        <v>384000</v>
      </c>
      <c r="X83" s="10">
        <f>AI83*1.5%</f>
        <v>72000</v>
      </c>
      <c r="Y83" s="10">
        <f>AI83*1%</f>
        <v>48000</v>
      </c>
      <c r="Z83" s="10">
        <f>AI83*1%</f>
        <v>48000</v>
      </c>
      <c r="AA83" s="11">
        <f>SUM(L83:N83)+S83-T83-SUM(V83:Y83)</f>
        <v>-11504000</v>
      </c>
      <c r="AB83" s="5">
        <f>ROUND(IF(AA83&gt;0,IF(AA83&gt;80000000,(AA83-80000000)*35%+18150000,IF(AA83&gt;52000000,(AA83-52000000)*30%+9750000,IF(AA83&gt;32000000,(AA83-32000000)*25%+4750000,IF(AA83&gt;18000000,(AA83-18000000)*20%+1950000,IF(AA83&gt;10000000,(AA83-10000000)*15%+750000,IF(AA83&gt;5000000,(AA83-5000000)*10%+250000,AA83*5%)))))),0),0)</f>
        <v>0</v>
      </c>
      <c r="AC83" s="5"/>
      <c r="AD83" s="12">
        <f>ROUND(SUM(L83:S83)-SUM(W83:Z83)-AB83+AC83,0)</f>
        <v>628000</v>
      </c>
      <c r="AE83" s="13"/>
      <c r="AF83" s="12">
        <f>SUM(L83:S83)</f>
        <v>1180000</v>
      </c>
      <c r="AG83" s="12">
        <f>SUM(L83+N83)*23.5%</f>
        <v>0</v>
      </c>
      <c r="AH83" s="12">
        <f>SUM(AF83:AG83)</f>
        <v>1180000</v>
      </c>
      <c r="AI83" s="12">
        <f>IF(L83+N83&lt;4800000,4800000,MIN(29800000,L83+N83))</f>
        <v>4800000</v>
      </c>
    </row>
    <row r="84" spans="1:35" ht="15">
      <c r="A84" s="4" t="s">
        <v>391</v>
      </c>
      <c r="B84" s="25" t="s">
        <v>392</v>
      </c>
      <c r="C84" s="25" t="s">
        <v>39</v>
      </c>
      <c r="D84" s="25" t="s">
        <v>393</v>
      </c>
      <c r="E84" s="25" t="s">
        <v>41</v>
      </c>
      <c r="F84" s="25"/>
      <c r="G84" s="25"/>
      <c r="H84" s="25" t="s">
        <v>394</v>
      </c>
      <c r="I84" s="21" t="s">
        <v>395</v>
      </c>
      <c r="J84" s="21" t="s">
        <v>97</v>
      </c>
      <c r="K84" s="5"/>
      <c r="L84" s="6"/>
      <c r="M84" s="5">
        <f>K84-L84</f>
        <v>0</v>
      </c>
      <c r="N84" s="7"/>
      <c r="O84" s="5">
        <v>730000</v>
      </c>
      <c r="P84" s="8"/>
      <c r="Q84" s="7">
        <v>50000</v>
      </c>
      <c r="R84" s="7">
        <v>400000</v>
      </c>
      <c r="S84" s="7"/>
      <c r="T84" s="9">
        <v>11000000</v>
      </c>
      <c r="U84" s="9"/>
      <c r="V84" s="9">
        <f>4400000*U84</f>
        <v>0</v>
      </c>
      <c r="W84" s="10">
        <f>AI84*8%</f>
        <v>384000</v>
      </c>
      <c r="X84" s="10">
        <f>AI84*1.5%</f>
        <v>72000</v>
      </c>
      <c r="Y84" s="10">
        <f>AI84*1%</f>
        <v>48000</v>
      </c>
      <c r="Z84" s="10">
        <f>AI84*1%</f>
        <v>48000</v>
      </c>
      <c r="AA84" s="11">
        <f>SUM(L84:N84)+S84-T84-SUM(V84:Y84)</f>
        <v>-11504000</v>
      </c>
      <c r="AB84" s="5">
        <f>ROUND(IF(AA84&gt;0,IF(AA84&gt;80000000,(AA84-80000000)*35%+18150000,IF(AA84&gt;52000000,(AA84-52000000)*30%+9750000,IF(AA84&gt;32000000,(AA84-32000000)*25%+4750000,IF(AA84&gt;18000000,(AA84-18000000)*20%+1950000,IF(AA84&gt;10000000,(AA84-10000000)*15%+750000,IF(AA84&gt;5000000,(AA84-5000000)*10%+250000,AA84*5%)))))),0),0)</f>
        <v>0</v>
      </c>
      <c r="AC84" s="5"/>
      <c r="AD84" s="12">
        <f>ROUND(SUM(L84:S84)-SUM(W84:Z84)-AB84+AC84,0)</f>
        <v>628000</v>
      </c>
      <c r="AE84" s="13"/>
      <c r="AF84" s="12">
        <f>SUM(L84:S84)</f>
        <v>1180000</v>
      </c>
      <c r="AG84" s="12">
        <f>SUM(L84+N84)*23.5%</f>
        <v>0</v>
      </c>
      <c r="AH84" s="12">
        <f>SUM(AF84:AG84)</f>
        <v>1180000</v>
      </c>
      <c r="AI84" s="12">
        <f>IF(L84+N84&lt;4800000,4800000,MIN(29800000,L84+N84))</f>
        <v>4800000</v>
      </c>
    </row>
    <row r="85" spans="1:35" ht="15">
      <c r="A85" s="4" t="s">
        <v>396</v>
      </c>
      <c r="B85" s="25" t="s">
        <v>397</v>
      </c>
      <c r="C85" s="25" t="s">
        <v>39</v>
      </c>
      <c r="D85" s="25" t="s">
        <v>398</v>
      </c>
      <c r="E85" s="25" t="s">
        <v>41</v>
      </c>
      <c r="F85" s="25"/>
      <c r="G85" s="25"/>
      <c r="H85" s="25" t="s">
        <v>394</v>
      </c>
      <c r="I85" s="21" t="s">
        <v>399</v>
      </c>
      <c r="J85" s="21" t="s">
        <v>97</v>
      </c>
      <c r="K85" s="5"/>
      <c r="L85" s="6"/>
      <c r="M85" s="5">
        <f>K85-L85</f>
        <v>0</v>
      </c>
      <c r="N85" s="7"/>
      <c r="O85" s="5">
        <v>730000</v>
      </c>
      <c r="P85" s="8"/>
      <c r="Q85" s="7">
        <v>50000</v>
      </c>
      <c r="R85" s="7">
        <v>400000</v>
      </c>
      <c r="S85" s="7"/>
      <c r="T85" s="9">
        <v>11000000</v>
      </c>
      <c r="U85" s="9"/>
      <c r="V85" s="9">
        <f>4400000*U85</f>
        <v>0</v>
      </c>
      <c r="W85" s="10">
        <f>AI85*8%</f>
        <v>384000</v>
      </c>
      <c r="X85" s="10">
        <f>AI85*1.5%</f>
        <v>72000</v>
      </c>
      <c r="Y85" s="10">
        <f>AI85*1%</f>
        <v>48000</v>
      </c>
      <c r="Z85" s="10">
        <f>AI85*1%</f>
        <v>48000</v>
      </c>
      <c r="AA85" s="11">
        <f>SUM(L85:N85)+S85-T85-SUM(V85:Y85)</f>
        <v>-11504000</v>
      </c>
      <c r="AB85" s="5">
        <f>ROUND(IF(AA85&gt;0,IF(AA85&gt;80000000,(AA85-80000000)*35%+18150000,IF(AA85&gt;52000000,(AA85-52000000)*30%+9750000,IF(AA85&gt;32000000,(AA85-32000000)*25%+4750000,IF(AA85&gt;18000000,(AA85-18000000)*20%+1950000,IF(AA85&gt;10000000,(AA85-10000000)*15%+750000,IF(AA85&gt;5000000,(AA85-5000000)*10%+250000,AA85*5%)))))),0),0)</f>
        <v>0</v>
      </c>
      <c r="AC85" s="5"/>
      <c r="AD85" s="12">
        <f>ROUND(SUM(L85:S85)-SUM(W85:Z85)-AB85+AC85,0)</f>
        <v>628000</v>
      </c>
      <c r="AE85" s="13"/>
      <c r="AF85" s="12">
        <f>SUM(L85:S85)</f>
        <v>1180000</v>
      </c>
      <c r="AG85" s="12">
        <f>SUM(L85+N85)*23.5%</f>
        <v>0</v>
      </c>
      <c r="AH85" s="12">
        <f>SUM(AF85:AG85)</f>
        <v>1180000</v>
      </c>
      <c r="AI85" s="12">
        <f>IF(L85+N85&lt;4800000,4800000,MIN(29800000,L85+N85))</f>
        <v>4800000</v>
      </c>
    </row>
    <row r="86" spans="1:35" ht="15">
      <c r="A86" s="4" t="s">
        <v>400</v>
      </c>
      <c r="B86" s="25" t="s">
        <v>401</v>
      </c>
      <c r="C86" s="25" t="s">
        <v>39</v>
      </c>
      <c r="D86" s="25" t="s">
        <v>402</v>
      </c>
      <c r="E86" s="25" t="s">
        <v>41</v>
      </c>
      <c r="F86" s="25"/>
      <c r="G86" s="25"/>
      <c r="H86" s="25" t="s">
        <v>394</v>
      </c>
      <c r="I86" s="21" t="s">
        <v>403</v>
      </c>
      <c r="J86" s="21" t="s">
        <v>123</v>
      </c>
      <c r="K86" s="5"/>
      <c r="L86" s="6"/>
      <c r="M86" s="5">
        <f>K86-L86</f>
        <v>0</v>
      </c>
      <c r="N86" s="7"/>
      <c r="O86" s="5">
        <v>730000</v>
      </c>
      <c r="P86" s="8"/>
      <c r="Q86" s="7">
        <v>50000</v>
      </c>
      <c r="R86" s="7">
        <v>400000</v>
      </c>
      <c r="S86" s="7"/>
      <c r="T86" s="9">
        <v>11000000</v>
      </c>
      <c r="U86" s="9"/>
      <c r="V86" s="9">
        <f>4400000*U86</f>
        <v>0</v>
      </c>
      <c r="W86" s="10">
        <f>AI86*8%</f>
        <v>384000</v>
      </c>
      <c r="X86" s="10">
        <f>AI86*1.5%</f>
        <v>72000</v>
      </c>
      <c r="Y86" s="10">
        <f>AI86*1%</f>
        <v>48000</v>
      </c>
      <c r="Z86" s="10">
        <f>AI86*1%</f>
        <v>48000</v>
      </c>
      <c r="AA86" s="11">
        <f>SUM(L86:N86)+S86-T86-SUM(V86:Y86)</f>
        <v>-11504000</v>
      </c>
      <c r="AB86" s="5">
        <f>ROUND(IF(AA86&gt;0,IF(AA86&gt;80000000,(AA86-80000000)*35%+18150000,IF(AA86&gt;52000000,(AA86-52000000)*30%+9750000,IF(AA86&gt;32000000,(AA86-32000000)*25%+4750000,IF(AA86&gt;18000000,(AA86-18000000)*20%+1950000,IF(AA86&gt;10000000,(AA86-10000000)*15%+750000,IF(AA86&gt;5000000,(AA86-5000000)*10%+250000,AA86*5%)))))),0),0)</f>
        <v>0</v>
      </c>
      <c r="AC86" s="5"/>
      <c r="AD86" s="12">
        <f>ROUND(SUM(L86:S86)-SUM(W86:Z86)-AB86+AC86,0)</f>
        <v>628000</v>
      </c>
      <c r="AE86" s="13"/>
      <c r="AF86" s="12">
        <f>SUM(L86:S86)</f>
        <v>1180000</v>
      </c>
      <c r="AG86" s="12">
        <f>SUM(L86+N86)*23.5%</f>
        <v>0</v>
      </c>
      <c r="AH86" s="12">
        <f>SUM(AF86:AG86)</f>
        <v>1180000</v>
      </c>
      <c r="AI86" s="12">
        <f>IF(L86+N86&lt;4800000,4800000,MIN(29800000,L86+N86))</f>
        <v>4800000</v>
      </c>
    </row>
    <row r="87" spans="1:35" ht="15">
      <c r="A87" s="4" t="s">
        <v>404</v>
      </c>
      <c r="B87" s="25" t="s">
        <v>405</v>
      </c>
      <c r="C87" s="25" t="s">
        <v>39</v>
      </c>
      <c r="D87" s="25" t="s">
        <v>406</v>
      </c>
      <c r="E87" s="25" t="s">
        <v>41</v>
      </c>
      <c r="F87" s="25"/>
      <c r="G87" s="25"/>
      <c r="H87" s="25" t="s">
        <v>407</v>
      </c>
      <c r="I87" s="21" t="s">
        <v>408</v>
      </c>
      <c r="J87" s="21" t="s">
        <v>97</v>
      </c>
      <c r="K87" s="5"/>
      <c r="L87" s="6"/>
      <c r="M87" s="5">
        <f>K87-L87</f>
        <v>0</v>
      </c>
      <c r="N87" s="7"/>
      <c r="O87" s="5">
        <v>730000</v>
      </c>
      <c r="P87" s="8"/>
      <c r="Q87" s="7">
        <v>50000</v>
      </c>
      <c r="R87" s="7">
        <v>400000</v>
      </c>
      <c r="S87" s="7"/>
      <c r="T87" s="9">
        <v>11000000</v>
      </c>
      <c r="U87" s="9"/>
      <c r="V87" s="9">
        <f>4400000*U87</f>
        <v>0</v>
      </c>
      <c r="W87" s="10">
        <f>AI87*8%</f>
        <v>384000</v>
      </c>
      <c r="X87" s="10">
        <f>AI87*1.5%</f>
        <v>72000</v>
      </c>
      <c r="Y87" s="10">
        <f>AI87*1%</f>
        <v>48000</v>
      </c>
      <c r="Z87" s="10">
        <f>AI87*1%</f>
        <v>48000</v>
      </c>
      <c r="AA87" s="11">
        <f>SUM(L87:N87)+S87-T87-SUM(V87:Y87)</f>
        <v>-11504000</v>
      </c>
      <c r="AB87" s="5">
        <f>ROUND(IF(AA87&gt;0,IF(AA87&gt;80000000,(AA87-80000000)*35%+18150000,IF(AA87&gt;52000000,(AA87-52000000)*30%+9750000,IF(AA87&gt;32000000,(AA87-32000000)*25%+4750000,IF(AA87&gt;18000000,(AA87-18000000)*20%+1950000,IF(AA87&gt;10000000,(AA87-10000000)*15%+750000,IF(AA87&gt;5000000,(AA87-5000000)*10%+250000,AA87*5%)))))),0),0)</f>
        <v>0</v>
      </c>
      <c r="AC87" s="5"/>
      <c r="AD87" s="12">
        <f>ROUND(SUM(L87:S87)-SUM(W87:Z87)-AB87+AC87,0)</f>
        <v>628000</v>
      </c>
      <c r="AE87" s="13"/>
      <c r="AF87" s="12">
        <f>SUM(L87:S87)</f>
        <v>1180000</v>
      </c>
      <c r="AG87" s="12">
        <f>SUM(L87+N87)*23.5%</f>
        <v>0</v>
      </c>
      <c r="AH87" s="12">
        <f>SUM(AF87:AG87)</f>
        <v>1180000</v>
      </c>
      <c r="AI87" s="12">
        <f>IF(L87+N87&lt;4800000,4800000,MIN(29800000,L87+N87))</f>
        <v>4800000</v>
      </c>
    </row>
    <row r="88" spans="1:35" ht="15">
      <c r="A88" s="4" t="s">
        <v>409</v>
      </c>
      <c r="B88" s="25" t="s">
        <v>410</v>
      </c>
      <c r="C88" s="25" t="s">
        <v>39</v>
      </c>
      <c r="D88" s="25" t="s">
        <v>411</v>
      </c>
      <c r="E88" s="25" t="s">
        <v>41</v>
      </c>
      <c r="F88" s="25"/>
      <c r="G88" s="25"/>
      <c r="H88" s="25" t="s">
        <v>407</v>
      </c>
      <c r="I88" s="21" t="s">
        <v>412</v>
      </c>
      <c r="J88" s="21" t="s">
        <v>97</v>
      </c>
      <c r="K88" s="5"/>
      <c r="L88" s="6"/>
      <c r="M88" s="5">
        <f>K88-L88</f>
        <v>0</v>
      </c>
      <c r="N88" s="7"/>
      <c r="O88" s="5">
        <v>730000</v>
      </c>
      <c r="P88" s="8"/>
      <c r="Q88" s="7">
        <v>50000</v>
      </c>
      <c r="R88" s="7">
        <v>400000</v>
      </c>
      <c r="S88" s="7"/>
      <c r="T88" s="9">
        <v>11000000</v>
      </c>
      <c r="U88" s="9"/>
      <c r="V88" s="9">
        <f>4400000*U88</f>
        <v>0</v>
      </c>
      <c r="W88" s="10">
        <f>AI88*8%</f>
        <v>384000</v>
      </c>
      <c r="X88" s="10">
        <f>AI88*1.5%</f>
        <v>72000</v>
      </c>
      <c r="Y88" s="10">
        <f>AI88*1%</f>
        <v>48000</v>
      </c>
      <c r="Z88" s="10">
        <f>AI88*1%</f>
        <v>48000</v>
      </c>
      <c r="AA88" s="11">
        <f>SUM(L88:N88)+S88-T88-SUM(V88:Y88)</f>
        <v>-11504000</v>
      </c>
      <c r="AB88" s="5">
        <f>ROUND(IF(AA88&gt;0,IF(AA88&gt;80000000,(AA88-80000000)*35%+18150000,IF(AA88&gt;52000000,(AA88-52000000)*30%+9750000,IF(AA88&gt;32000000,(AA88-32000000)*25%+4750000,IF(AA88&gt;18000000,(AA88-18000000)*20%+1950000,IF(AA88&gt;10000000,(AA88-10000000)*15%+750000,IF(AA88&gt;5000000,(AA88-5000000)*10%+250000,AA88*5%)))))),0),0)</f>
        <v>0</v>
      </c>
      <c r="AC88" s="5"/>
      <c r="AD88" s="12">
        <f>ROUND(SUM(L88:S88)-SUM(W88:Z88)-AB88+AC88,0)</f>
        <v>628000</v>
      </c>
      <c r="AE88" s="13"/>
      <c r="AF88" s="12">
        <f>SUM(L88:S88)</f>
        <v>1180000</v>
      </c>
      <c r="AG88" s="12">
        <f>SUM(L88+N88)*23.5%</f>
        <v>0</v>
      </c>
      <c r="AH88" s="12">
        <f>SUM(AF88:AG88)</f>
        <v>1180000</v>
      </c>
      <c r="AI88" s="12">
        <f>IF(L88+N88&lt;4800000,4800000,MIN(29800000,L88+N88))</f>
        <v>4800000</v>
      </c>
    </row>
    <row r="89" spans="1:35" ht="15">
      <c r="A89" s="4" t="s">
        <v>413</v>
      </c>
      <c r="B89" s="25" t="s">
        <v>414</v>
      </c>
      <c r="C89" s="25" t="s">
        <v>39</v>
      </c>
      <c r="D89" s="25" t="s">
        <v>415</v>
      </c>
      <c r="E89" s="25" t="s">
        <v>41</v>
      </c>
      <c r="F89" s="25"/>
      <c r="G89" s="25"/>
      <c r="H89" s="25" t="s">
        <v>407</v>
      </c>
      <c r="I89" s="21" t="s">
        <v>416</v>
      </c>
      <c r="J89" s="21" t="s">
        <v>97</v>
      </c>
      <c r="K89" s="5"/>
      <c r="L89" s="6"/>
      <c r="M89" s="5">
        <f>K89-L89</f>
        <v>0</v>
      </c>
      <c r="N89" s="7"/>
      <c r="O89" s="5">
        <v>730000</v>
      </c>
      <c r="P89" s="8"/>
      <c r="Q89" s="7">
        <v>50000</v>
      </c>
      <c r="R89" s="7">
        <v>400000</v>
      </c>
      <c r="S89" s="7"/>
      <c r="T89" s="9">
        <v>11000000</v>
      </c>
      <c r="U89" s="9"/>
      <c r="V89" s="9">
        <f>4400000*U89</f>
        <v>0</v>
      </c>
      <c r="W89" s="10">
        <f>AI89*8%</f>
        <v>384000</v>
      </c>
      <c r="X89" s="10">
        <f>AI89*1.5%</f>
        <v>72000</v>
      </c>
      <c r="Y89" s="10">
        <f>AI89*1%</f>
        <v>48000</v>
      </c>
      <c r="Z89" s="10">
        <f>AI89*1%</f>
        <v>48000</v>
      </c>
      <c r="AA89" s="11">
        <f>SUM(L89:N89)+S89-T89-SUM(V89:Y89)</f>
        <v>-11504000</v>
      </c>
      <c r="AB89" s="5">
        <f>ROUND(IF(AA89&gt;0,IF(AA89&gt;80000000,(AA89-80000000)*35%+18150000,IF(AA89&gt;52000000,(AA89-52000000)*30%+9750000,IF(AA89&gt;32000000,(AA89-32000000)*25%+4750000,IF(AA89&gt;18000000,(AA89-18000000)*20%+1950000,IF(AA89&gt;10000000,(AA89-10000000)*15%+750000,IF(AA89&gt;5000000,(AA89-5000000)*10%+250000,AA89*5%)))))),0),0)</f>
        <v>0</v>
      </c>
      <c r="AC89" s="5"/>
      <c r="AD89" s="12">
        <f>ROUND(SUM(L89:S89)-SUM(W89:Z89)-AB89+AC89,0)</f>
        <v>628000</v>
      </c>
      <c r="AE89" s="13"/>
      <c r="AF89" s="12">
        <f>SUM(L89:S89)</f>
        <v>1180000</v>
      </c>
      <c r="AG89" s="12">
        <f>SUM(L89+N89)*23.5%</f>
        <v>0</v>
      </c>
      <c r="AH89" s="12">
        <f>SUM(AF89:AG89)</f>
        <v>1180000</v>
      </c>
      <c r="AI89" s="12">
        <f>IF(L89+N89&lt;4800000,4800000,MIN(29800000,L89+N89))</f>
        <v>4800000</v>
      </c>
    </row>
    <row r="90" spans="1:35" ht="15">
      <c r="A90" s="4" t="s">
        <v>417</v>
      </c>
      <c r="B90" s="25" t="s">
        <v>418</v>
      </c>
      <c r="C90" s="25" t="s">
        <v>39</v>
      </c>
      <c r="D90" s="25" t="s">
        <v>419</v>
      </c>
      <c r="E90" s="25" t="s">
        <v>41</v>
      </c>
      <c r="F90" s="25"/>
      <c r="G90" s="25"/>
      <c r="H90" s="25" t="s">
        <v>407</v>
      </c>
      <c r="I90" s="21" t="s">
        <v>420</v>
      </c>
      <c r="J90" s="21" t="s">
        <v>123</v>
      </c>
      <c r="K90" s="5"/>
      <c r="L90" s="6"/>
      <c r="M90" s="5">
        <f>K90-L90</f>
        <v>0</v>
      </c>
      <c r="N90" s="7"/>
      <c r="O90" s="5">
        <v>730000</v>
      </c>
      <c r="P90" s="8"/>
      <c r="Q90" s="7">
        <v>50000</v>
      </c>
      <c r="R90" s="7">
        <v>400000</v>
      </c>
      <c r="S90" s="7"/>
      <c r="T90" s="9">
        <v>11000000</v>
      </c>
      <c r="U90" s="9"/>
      <c r="V90" s="9">
        <f>4400000*U90</f>
        <v>0</v>
      </c>
      <c r="W90" s="10">
        <f>AI90*8%</f>
        <v>384000</v>
      </c>
      <c r="X90" s="10">
        <f>AI90*1.5%</f>
        <v>72000</v>
      </c>
      <c r="Y90" s="10">
        <f>AI90*1%</f>
        <v>48000</v>
      </c>
      <c r="Z90" s="10">
        <f>AI90*1%</f>
        <v>48000</v>
      </c>
      <c r="AA90" s="11">
        <f>SUM(L90:N90)+S90-T90-SUM(V90:Y90)</f>
        <v>-11504000</v>
      </c>
      <c r="AB90" s="5">
        <f>ROUND(IF(AA90&gt;0,IF(AA90&gt;80000000,(AA90-80000000)*35%+18150000,IF(AA90&gt;52000000,(AA90-52000000)*30%+9750000,IF(AA90&gt;32000000,(AA90-32000000)*25%+4750000,IF(AA90&gt;18000000,(AA90-18000000)*20%+1950000,IF(AA90&gt;10000000,(AA90-10000000)*15%+750000,IF(AA90&gt;5000000,(AA90-5000000)*10%+250000,AA90*5%)))))),0),0)</f>
        <v>0</v>
      </c>
      <c r="AC90" s="5"/>
      <c r="AD90" s="12">
        <f>ROUND(SUM(L90:S90)-SUM(W90:Z90)-AB90+AC90,0)</f>
        <v>628000</v>
      </c>
      <c r="AE90" s="13"/>
      <c r="AF90" s="12">
        <f>SUM(L90:S90)</f>
        <v>1180000</v>
      </c>
      <c r="AG90" s="12">
        <f>SUM(L90+N90)*23.5%</f>
        <v>0</v>
      </c>
      <c r="AH90" s="12">
        <f>SUM(AF90:AG90)</f>
        <v>1180000</v>
      </c>
      <c r="AI90" s="12">
        <f>IF(L90+N90&lt;4800000,4800000,MIN(29800000,L90+N90))</f>
        <v>4800000</v>
      </c>
    </row>
    <row r="91" spans="1:35" ht="15">
      <c r="A91" s="4" t="s">
        <v>421</v>
      </c>
      <c r="B91" s="25" t="s">
        <v>422</v>
      </c>
      <c r="C91" s="25" t="s">
        <v>39</v>
      </c>
      <c r="D91" s="25" t="s">
        <v>423</v>
      </c>
      <c r="E91" s="25" t="s">
        <v>41</v>
      </c>
      <c r="F91" s="25"/>
      <c r="G91" s="25"/>
      <c r="H91" s="25" t="s">
        <v>407</v>
      </c>
      <c r="I91" s="21" t="s">
        <v>424</v>
      </c>
      <c r="J91" s="21" t="s">
        <v>60</v>
      </c>
      <c r="K91" s="5"/>
      <c r="L91" s="6"/>
      <c r="M91" s="5">
        <f>K91-L91</f>
        <v>0</v>
      </c>
      <c r="N91" s="7"/>
      <c r="O91" s="5">
        <v>730000</v>
      </c>
      <c r="P91" s="8"/>
      <c r="Q91" s="7">
        <v>50000</v>
      </c>
      <c r="R91" s="7">
        <v>400000</v>
      </c>
      <c r="S91" s="7"/>
      <c r="T91" s="9">
        <v>11000000</v>
      </c>
      <c r="U91" s="9"/>
      <c r="V91" s="9">
        <f>4400000*U91</f>
        <v>0</v>
      </c>
      <c r="W91" s="10">
        <f>AI91*8%</f>
        <v>384000</v>
      </c>
      <c r="X91" s="10">
        <f>AI91*1.5%</f>
        <v>72000</v>
      </c>
      <c r="Y91" s="10">
        <f>AI91*1%</f>
        <v>48000</v>
      </c>
      <c r="Z91" s="10">
        <f>AI91*1%</f>
        <v>48000</v>
      </c>
      <c r="AA91" s="11">
        <f>SUM(L91:N91)+S91-T91-SUM(V91:Y91)</f>
        <v>-11504000</v>
      </c>
      <c r="AB91" s="5">
        <f>ROUND(IF(AA91&gt;0,IF(AA91&gt;80000000,(AA91-80000000)*35%+18150000,IF(AA91&gt;52000000,(AA91-52000000)*30%+9750000,IF(AA91&gt;32000000,(AA91-32000000)*25%+4750000,IF(AA91&gt;18000000,(AA91-18000000)*20%+1950000,IF(AA91&gt;10000000,(AA91-10000000)*15%+750000,IF(AA91&gt;5000000,(AA91-5000000)*10%+250000,AA91*5%)))))),0),0)</f>
        <v>0</v>
      </c>
      <c r="AC91" s="5"/>
      <c r="AD91" s="12">
        <f>ROUND(SUM(L91:S91)-SUM(W91:Z91)-AB91+AC91,0)</f>
        <v>628000</v>
      </c>
      <c r="AE91" s="13"/>
      <c r="AF91" s="12">
        <f>SUM(L91:S91)</f>
        <v>1180000</v>
      </c>
      <c r="AG91" s="12">
        <f>SUM(L91+N91)*23.5%</f>
        <v>0</v>
      </c>
      <c r="AH91" s="12">
        <f>SUM(AF91:AG91)</f>
        <v>1180000</v>
      </c>
      <c r="AI91" s="12">
        <f>IF(L91+N91&lt;4800000,4800000,MIN(29800000,L91+N91))</f>
        <v>4800000</v>
      </c>
    </row>
    <row r="92" spans="1:35" ht="15">
      <c r="A92" s="4" t="s">
        <v>425</v>
      </c>
      <c r="B92" s="25" t="s">
        <v>426</v>
      </c>
      <c r="C92" s="25" t="s">
        <v>39</v>
      </c>
      <c r="D92" s="25" t="s">
        <v>427</v>
      </c>
      <c r="E92" s="25" t="s">
        <v>41</v>
      </c>
      <c r="F92" s="25"/>
      <c r="G92" s="25"/>
      <c r="H92" s="25" t="s">
        <v>407</v>
      </c>
      <c r="I92" s="21" t="s">
        <v>428</v>
      </c>
      <c r="J92" s="21" t="s">
        <v>97</v>
      </c>
      <c r="K92" s="5"/>
      <c r="L92" s="6"/>
      <c r="M92" s="5">
        <f>K92-L92</f>
        <v>0</v>
      </c>
      <c r="N92" s="7"/>
      <c r="O92" s="5">
        <v>730000</v>
      </c>
      <c r="P92" s="8"/>
      <c r="Q92" s="7">
        <v>50000</v>
      </c>
      <c r="R92" s="7">
        <v>400000</v>
      </c>
      <c r="S92" s="7"/>
      <c r="T92" s="9">
        <v>11000000</v>
      </c>
      <c r="U92" s="9"/>
      <c r="V92" s="9">
        <f>4400000*U92</f>
        <v>0</v>
      </c>
      <c r="W92" s="10">
        <f>AI92*8%</f>
        <v>384000</v>
      </c>
      <c r="X92" s="10">
        <f>AI92*1.5%</f>
        <v>72000</v>
      </c>
      <c r="Y92" s="10">
        <f>AI92*1%</f>
        <v>48000</v>
      </c>
      <c r="Z92" s="10">
        <f>AI92*1%</f>
        <v>48000</v>
      </c>
      <c r="AA92" s="11">
        <f>SUM(L92:N92)+S92-T92-SUM(V92:Y92)</f>
        <v>-11504000</v>
      </c>
      <c r="AB92" s="5">
        <f>ROUND(IF(AA92&gt;0,IF(AA92&gt;80000000,(AA92-80000000)*35%+18150000,IF(AA92&gt;52000000,(AA92-52000000)*30%+9750000,IF(AA92&gt;32000000,(AA92-32000000)*25%+4750000,IF(AA92&gt;18000000,(AA92-18000000)*20%+1950000,IF(AA92&gt;10000000,(AA92-10000000)*15%+750000,IF(AA92&gt;5000000,(AA92-5000000)*10%+250000,AA92*5%)))))),0),0)</f>
        <v>0</v>
      </c>
      <c r="AC92" s="5"/>
      <c r="AD92" s="12">
        <f>ROUND(SUM(L92:S92)-SUM(W92:Z92)-AB92+AC92,0)</f>
        <v>628000</v>
      </c>
      <c r="AE92" s="13"/>
      <c r="AF92" s="12">
        <f>SUM(L92:S92)</f>
        <v>1180000</v>
      </c>
      <c r="AG92" s="12">
        <f>SUM(L92+N92)*23.5%</f>
        <v>0</v>
      </c>
      <c r="AH92" s="12">
        <f>SUM(AF92:AG92)</f>
        <v>1180000</v>
      </c>
      <c r="AI92" s="12">
        <f>IF(L92+N92&lt;4800000,4800000,MIN(29800000,L92+N92))</f>
        <v>4800000</v>
      </c>
    </row>
    <row r="93" spans="1:35" ht="15">
      <c r="A93" s="4" t="s">
        <v>429</v>
      </c>
      <c r="B93" s="25" t="s">
        <v>430</v>
      </c>
      <c r="C93" s="25" t="s">
        <v>39</v>
      </c>
      <c r="D93" s="25" t="s">
        <v>431</v>
      </c>
      <c r="E93" s="25" t="s">
        <v>41</v>
      </c>
      <c r="F93" s="25"/>
      <c r="G93" s="25"/>
      <c r="H93" s="25" t="s">
        <v>407</v>
      </c>
      <c r="I93" s="21" t="s">
        <v>432</v>
      </c>
      <c r="J93" s="21" t="s">
        <v>97</v>
      </c>
      <c r="K93" s="5"/>
      <c r="L93" s="6"/>
      <c r="M93" s="5">
        <f>K93-L93</f>
        <v>0</v>
      </c>
      <c r="N93" s="7"/>
      <c r="O93" s="5">
        <v>730000</v>
      </c>
      <c r="P93" s="8"/>
      <c r="Q93" s="7">
        <v>50000</v>
      </c>
      <c r="R93" s="7">
        <v>400000</v>
      </c>
      <c r="S93" s="7"/>
      <c r="T93" s="9">
        <v>11000000</v>
      </c>
      <c r="U93" s="9"/>
      <c r="V93" s="9">
        <f>4400000*U93</f>
        <v>0</v>
      </c>
      <c r="W93" s="10">
        <f>AI93*8%</f>
        <v>384000</v>
      </c>
      <c r="X93" s="10">
        <f>AI93*1.5%</f>
        <v>72000</v>
      </c>
      <c r="Y93" s="10">
        <f>AI93*1%</f>
        <v>48000</v>
      </c>
      <c r="Z93" s="10">
        <f>AI93*1%</f>
        <v>48000</v>
      </c>
      <c r="AA93" s="11">
        <f>SUM(L93:N93)+S93-T93-SUM(V93:Y93)</f>
        <v>-11504000</v>
      </c>
      <c r="AB93" s="5">
        <f>ROUND(IF(AA93&gt;0,IF(AA93&gt;80000000,(AA93-80000000)*35%+18150000,IF(AA93&gt;52000000,(AA93-52000000)*30%+9750000,IF(AA93&gt;32000000,(AA93-32000000)*25%+4750000,IF(AA93&gt;18000000,(AA93-18000000)*20%+1950000,IF(AA93&gt;10000000,(AA93-10000000)*15%+750000,IF(AA93&gt;5000000,(AA93-5000000)*10%+250000,AA93*5%)))))),0),0)</f>
        <v>0</v>
      </c>
      <c r="AC93" s="5"/>
      <c r="AD93" s="12">
        <f>ROUND(SUM(L93:S93)-SUM(W93:Z93)-AB93+AC93,0)</f>
        <v>628000</v>
      </c>
      <c r="AE93" s="13"/>
      <c r="AF93" s="12">
        <f>SUM(L93:S93)</f>
        <v>1180000</v>
      </c>
      <c r="AG93" s="12">
        <f>SUM(L93+N93)*23.5%</f>
        <v>0</v>
      </c>
      <c r="AH93" s="12">
        <f>SUM(AF93:AG93)</f>
        <v>1180000</v>
      </c>
      <c r="AI93" s="12">
        <f>IF(L93+N93&lt;4800000,4800000,MIN(29800000,L93+N93))</f>
        <v>4800000</v>
      </c>
    </row>
    <row r="94" spans="1:35" ht="15">
      <c r="A94" s="4" t="s">
        <v>433</v>
      </c>
      <c r="B94" s="25" t="s">
        <v>434</v>
      </c>
      <c r="C94" s="25" t="s">
        <v>39</v>
      </c>
      <c r="D94" s="25" t="s">
        <v>435</v>
      </c>
      <c r="E94" s="25" t="s">
        <v>41</v>
      </c>
      <c r="F94" s="25"/>
      <c r="G94" s="25"/>
      <c r="H94" s="25" t="s">
        <v>436</v>
      </c>
      <c r="I94" s="21" t="s">
        <v>437</v>
      </c>
      <c r="J94" s="21" t="s">
        <v>97</v>
      </c>
      <c r="K94" s="5"/>
      <c r="L94" s="6"/>
      <c r="M94" s="5">
        <f>K94-L94</f>
        <v>0</v>
      </c>
      <c r="N94" s="7"/>
      <c r="O94" s="5">
        <v>730000</v>
      </c>
      <c r="P94" s="8"/>
      <c r="Q94" s="7">
        <v>50000</v>
      </c>
      <c r="R94" s="7">
        <v>400000</v>
      </c>
      <c r="S94" s="7"/>
      <c r="T94" s="9">
        <v>11000000</v>
      </c>
      <c r="U94" s="9"/>
      <c r="V94" s="9">
        <f>4400000*U94</f>
        <v>0</v>
      </c>
      <c r="W94" s="10">
        <f>AI94*8%</f>
        <v>384000</v>
      </c>
      <c r="X94" s="10">
        <f>AI94*1.5%</f>
        <v>72000</v>
      </c>
      <c r="Y94" s="10">
        <f>AI94*1%</f>
        <v>48000</v>
      </c>
      <c r="Z94" s="10">
        <f>AI94*1%</f>
        <v>48000</v>
      </c>
      <c r="AA94" s="11">
        <f>SUM(L94:N94)+S94-T94-SUM(V94:Y94)</f>
        <v>-11504000</v>
      </c>
      <c r="AB94" s="5">
        <f>ROUND(IF(AA94&gt;0,IF(AA94&gt;80000000,(AA94-80000000)*35%+18150000,IF(AA94&gt;52000000,(AA94-52000000)*30%+9750000,IF(AA94&gt;32000000,(AA94-32000000)*25%+4750000,IF(AA94&gt;18000000,(AA94-18000000)*20%+1950000,IF(AA94&gt;10000000,(AA94-10000000)*15%+750000,IF(AA94&gt;5000000,(AA94-5000000)*10%+250000,AA94*5%)))))),0),0)</f>
        <v>0</v>
      </c>
      <c r="AC94" s="5"/>
      <c r="AD94" s="12">
        <f>ROUND(SUM(L94:S94)-SUM(W94:Z94)-AB94+AC94,0)</f>
        <v>628000</v>
      </c>
      <c r="AE94" s="13"/>
      <c r="AF94" s="12">
        <f>SUM(L94:S94)</f>
        <v>1180000</v>
      </c>
      <c r="AG94" s="12">
        <f>SUM(L94+N94)*23.5%</f>
        <v>0</v>
      </c>
      <c r="AH94" s="12">
        <f>SUM(AF94:AG94)</f>
        <v>1180000</v>
      </c>
      <c r="AI94" s="12">
        <f>IF(L94+N94&lt;4800000,4800000,MIN(29800000,L94+N94))</f>
        <v>4800000</v>
      </c>
    </row>
    <row r="95" spans="1:35" ht="15">
      <c r="A95" s="4" t="s">
        <v>438</v>
      </c>
      <c r="B95" s="25" t="s">
        <v>439</v>
      </c>
      <c r="C95" s="25" t="s">
        <v>39</v>
      </c>
      <c r="D95" s="25" t="s">
        <v>440</v>
      </c>
      <c r="E95" s="25" t="s">
        <v>41</v>
      </c>
      <c r="F95" s="25"/>
      <c r="G95" s="25"/>
      <c r="H95" s="25" t="s">
        <v>436</v>
      </c>
      <c r="I95" s="21" t="s">
        <v>441</v>
      </c>
      <c r="J95" s="21" t="s">
        <v>97</v>
      </c>
      <c r="K95" s="5"/>
      <c r="L95" s="6"/>
      <c r="M95" s="5">
        <f>K95-L95</f>
        <v>0</v>
      </c>
      <c r="N95" s="7"/>
      <c r="O95" s="5">
        <v>730000</v>
      </c>
      <c r="P95" s="8"/>
      <c r="Q95" s="7">
        <v>50000</v>
      </c>
      <c r="R95" s="7">
        <v>400000</v>
      </c>
      <c r="S95" s="7"/>
      <c r="T95" s="9">
        <v>11000000</v>
      </c>
      <c r="U95" s="9"/>
      <c r="V95" s="9">
        <f>4400000*U95</f>
        <v>0</v>
      </c>
      <c r="W95" s="10">
        <f>AI95*8%</f>
        <v>384000</v>
      </c>
      <c r="X95" s="10">
        <f>AI95*1.5%</f>
        <v>72000</v>
      </c>
      <c r="Y95" s="10">
        <f>AI95*1%</f>
        <v>48000</v>
      </c>
      <c r="Z95" s="10">
        <f>AI95*1%</f>
        <v>48000</v>
      </c>
      <c r="AA95" s="11">
        <f>SUM(L95:N95)+S95-T95-SUM(V95:Y95)</f>
        <v>-11504000</v>
      </c>
      <c r="AB95" s="5">
        <f>ROUND(IF(AA95&gt;0,IF(AA95&gt;80000000,(AA95-80000000)*35%+18150000,IF(AA95&gt;52000000,(AA95-52000000)*30%+9750000,IF(AA95&gt;32000000,(AA95-32000000)*25%+4750000,IF(AA95&gt;18000000,(AA95-18000000)*20%+1950000,IF(AA95&gt;10000000,(AA95-10000000)*15%+750000,IF(AA95&gt;5000000,(AA95-5000000)*10%+250000,AA95*5%)))))),0),0)</f>
        <v>0</v>
      </c>
      <c r="AC95" s="5"/>
      <c r="AD95" s="12">
        <f>ROUND(SUM(L95:S95)-SUM(W95:Z95)-AB95+AC95,0)</f>
        <v>628000</v>
      </c>
      <c r="AE95" s="13"/>
      <c r="AF95" s="12">
        <f>SUM(L95:S95)</f>
        <v>1180000</v>
      </c>
      <c r="AG95" s="12">
        <f>SUM(L95+N95)*23.5%</f>
        <v>0</v>
      </c>
      <c r="AH95" s="12">
        <f>SUM(AF95:AG95)</f>
        <v>1180000</v>
      </c>
      <c r="AI95" s="12">
        <f>IF(L95+N95&lt;4800000,4800000,MIN(29800000,L95+N95))</f>
        <v>4800000</v>
      </c>
    </row>
    <row r="96" spans="1:35" ht="15">
      <c r="A96" s="4" t="s">
        <v>442</v>
      </c>
      <c r="B96" s="25" t="s">
        <v>443</v>
      </c>
      <c r="C96" s="25" t="s">
        <v>39</v>
      </c>
      <c r="D96" s="25" t="s">
        <v>444</v>
      </c>
      <c r="E96" s="25" t="s">
        <v>41</v>
      </c>
      <c r="F96" s="25"/>
      <c r="G96" s="25"/>
      <c r="H96" s="25" t="s">
        <v>436</v>
      </c>
      <c r="I96" s="21" t="s">
        <v>445</v>
      </c>
      <c r="J96" s="21" t="s">
        <v>97</v>
      </c>
      <c r="K96" s="5"/>
      <c r="L96" s="6"/>
      <c r="M96" s="5">
        <f>K96-L96</f>
        <v>0</v>
      </c>
      <c r="N96" s="7"/>
      <c r="O96" s="5">
        <v>730000</v>
      </c>
      <c r="P96" s="8"/>
      <c r="Q96" s="7">
        <v>50000</v>
      </c>
      <c r="R96" s="7">
        <v>400000</v>
      </c>
      <c r="S96" s="7"/>
      <c r="T96" s="9">
        <v>11000000</v>
      </c>
      <c r="U96" s="9"/>
      <c r="V96" s="9">
        <f>4400000*U96</f>
        <v>0</v>
      </c>
      <c r="W96" s="10">
        <f>AI96*8%</f>
        <v>384000</v>
      </c>
      <c r="X96" s="10">
        <f>AI96*1.5%</f>
        <v>72000</v>
      </c>
      <c r="Y96" s="10">
        <f>AI96*1%</f>
        <v>48000</v>
      </c>
      <c r="Z96" s="10">
        <f>AI96*1%</f>
        <v>48000</v>
      </c>
      <c r="AA96" s="11">
        <f>SUM(L96:N96)+S96-T96-SUM(V96:Y96)</f>
        <v>-11504000</v>
      </c>
      <c r="AB96" s="5">
        <f>ROUND(IF(AA96&gt;0,IF(AA96&gt;80000000,(AA96-80000000)*35%+18150000,IF(AA96&gt;52000000,(AA96-52000000)*30%+9750000,IF(AA96&gt;32000000,(AA96-32000000)*25%+4750000,IF(AA96&gt;18000000,(AA96-18000000)*20%+1950000,IF(AA96&gt;10000000,(AA96-10000000)*15%+750000,IF(AA96&gt;5000000,(AA96-5000000)*10%+250000,AA96*5%)))))),0),0)</f>
        <v>0</v>
      </c>
      <c r="AC96" s="5"/>
      <c r="AD96" s="12">
        <f>ROUND(SUM(L96:S96)-SUM(W96:Z96)-AB96+AC96,0)</f>
        <v>628000</v>
      </c>
      <c r="AE96" s="13"/>
      <c r="AF96" s="12">
        <f>SUM(L96:S96)</f>
        <v>1180000</v>
      </c>
      <c r="AG96" s="12">
        <f>SUM(L96+N96)*23.5%</f>
        <v>0</v>
      </c>
      <c r="AH96" s="12">
        <f>SUM(AF96:AG96)</f>
        <v>1180000</v>
      </c>
      <c r="AI96" s="12">
        <f>IF(L96+N96&lt;4800000,4800000,MIN(29800000,L96+N96))</f>
        <v>4800000</v>
      </c>
    </row>
    <row r="97" spans="1:35" ht="15">
      <c r="A97" s="4" t="s">
        <v>446</v>
      </c>
      <c r="B97" s="25" t="s">
        <v>447</v>
      </c>
      <c r="C97" s="25" t="s">
        <v>39</v>
      </c>
      <c r="D97" s="25" t="s">
        <v>448</v>
      </c>
      <c r="E97" s="25" t="s">
        <v>41</v>
      </c>
      <c r="F97" s="25"/>
      <c r="G97" s="25"/>
      <c r="H97" s="25" t="s">
        <v>436</v>
      </c>
      <c r="I97" s="21" t="s">
        <v>449</v>
      </c>
      <c r="J97" s="21" t="s">
        <v>97</v>
      </c>
      <c r="K97" s="5"/>
      <c r="L97" s="6"/>
      <c r="M97" s="5">
        <f>K97-L97</f>
        <v>0</v>
      </c>
      <c r="N97" s="7"/>
      <c r="O97" s="5">
        <v>730000</v>
      </c>
      <c r="P97" s="8"/>
      <c r="Q97" s="7">
        <v>50000</v>
      </c>
      <c r="R97" s="7">
        <v>400000</v>
      </c>
      <c r="S97" s="7"/>
      <c r="T97" s="9">
        <v>11000000</v>
      </c>
      <c r="U97" s="9"/>
      <c r="V97" s="9">
        <f>4400000*U97</f>
        <v>0</v>
      </c>
      <c r="W97" s="10">
        <f>AI97*8%</f>
        <v>384000</v>
      </c>
      <c r="X97" s="10">
        <f>AI97*1.5%</f>
        <v>72000</v>
      </c>
      <c r="Y97" s="10">
        <f>AI97*1%</f>
        <v>48000</v>
      </c>
      <c r="Z97" s="10">
        <f>AI97*1%</f>
        <v>48000</v>
      </c>
      <c r="AA97" s="11">
        <f>SUM(L97:N97)+S97-T97-SUM(V97:Y97)</f>
        <v>-11504000</v>
      </c>
      <c r="AB97" s="5">
        <f>ROUND(IF(AA97&gt;0,IF(AA97&gt;80000000,(AA97-80000000)*35%+18150000,IF(AA97&gt;52000000,(AA97-52000000)*30%+9750000,IF(AA97&gt;32000000,(AA97-32000000)*25%+4750000,IF(AA97&gt;18000000,(AA97-18000000)*20%+1950000,IF(AA97&gt;10000000,(AA97-10000000)*15%+750000,IF(AA97&gt;5000000,(AA97-5000000)*10%+250000,AA97*5%)))))),0),0)</f>
        <v>0</v>
      </c>
      <c r="AC97" s="5"/>
      <c r="AD97" s="12">
        <f>ROUND(SUM(L97:S97)-SUM(W97:Z97)-AB97+AC97,0)</f>
        <v>628000</v>
      </c>
      <c r="AE97" s="13"/>
      <c r="AF97" s="12">
        <f>SUM(L97:S97)</f>
        <v>1180000</v>
      </c>
      <c r="AG97" s="12">
        <f>SUM(L97+N97)*23.5%</f>
        <v>0</v>
      </c>
      <c r="AH97" s="12">
        <f>SUM(AF97:AG97)</f>
        <v>1180000</v>
      </c>
      <c r="AI97" s="12">
        <f>IF(L97+N97&lt;4800000,4800000,MIN(29800000,L97+N97))</f>
        <v>4800000</v>
      </c>
    </row>
    <row r="98" spans="1:35" ht="15">
      <c r="A98" s="4" t="s">
        <v>450</v>
      </c>
      <c r="B98" s="25" t="s">
        <v>451</v>
      </c>
      <c r="C98" s="25" t="s">
        <v>39</v>
      </c>
      <c r="D98" s="25" t="s">
        <v>452</v>
      </c>
      <c r="E98" s="25" t="s">
        <v>41</v>
      </c>
      <c r="F98" s="25"/>
      <c r="G98" s="25"/>
      <c r="H98" s="25" t="s">
        <v>436</v>
      </c>
      <c r="I98" s="21" t="s">
        <v>453</v>
      </c>
      <c r="J98" s="21" t="s">
        <v>319</v>
      </c>
      <c r="K98" s="5"/>
      <c r="L98" s="6"/>
      <c r="M98" s="5">
        <f>K98-L98</f>
        <v>0</v>
      </c>
      <c r="N98" s="7"/>
      <c r="O98" s="5">
        <v>730000</v>
      </c>
      <c r="P98" s="8"/>
      <c r="Q98" s="7">
        <v>50000</v>
      </c>
      <c r="R98" s="7">
        <v>400000</v>
      </c>
      <c r="S98" s="7"/>
      <c r="T98" s="9">
        <v>11000000</v>
      </c>
      <c r="U98" s="9"/>
      <c r="V98" s="9">
        <f>4400000*U98</f>
        <v>0</v>
      </c>
      <c r="W98" s="10">
        <f>AI98*8%</f>
        <v>384000</v>
      </c>
      <c r="X98" s="10">
        <f>AI98*1.5%</f>
        <v>72000</v>
      </c>
      <c r="Y98" s="10">
        <f>AI98*1%</f>
        <v>48000</v>
      </c>
      <c r="Z98" s="10">
        <f>AI98*1%</f>
        <v>48000</v>
      </c>
      <c r="AA98" s="11">
        <f>SUM(L98:N98)+S98-T98-SUM(V98:Y98)</f>
        <v>-11504000</v>
      </c>
      <c r="AB98" s="5">
        <f>ROUND(IF(AA98&gt;0,IF(AA98&gt;80000000,(AA98-80000000)*35%+18150000,IF(AA98&gt;52000000,(AA98-52000000)*30%+9750000,IF(AA98&gt;32000000,(AA98-32000000)*25%+4750000,IF(AA98&gt;18000000,(AA98-18000000)*20%+1950000,IF(AA98&gt;10000000,(AA98-10000000)*15%+750000,IF(AA98&gt;5000000,(AA98-5000000)*10%+250000,AA98*5%)))))),0),0)</f>
        <v>0</v>
      </c>
      <c r="AC98" s="5"/>
      <c r="AD98" s="12">
        <f>ROUND(SUM(L98:S98)-SUM(W98:Z98)-AB98+AC98,0)</f>
        <v>628000</v>
      </c>
      <c r="AE98" s="13"/>
      <c r="AF98" s="12">
        <f>SUM(L98:S98)</f>
        <v>1180000</v>
      </c>
      <c r="AG98" s="12">
        <f>SUM(L98+N98)*23.5%</f>
        <v>0</v>
      </c>
      <c r="AH98" s="12">
        <f>SUM(AF98:AG98)</f>
        <v>1180000</v>
      </c>
      <c r="AI98" s="12">
        <f>IF(L98+N98&lt;4800000,4800000,MIN(29800000,L98+N98))</f>
        <v>4800000</v>
      </c>
    </row>
    <row r="99" spans="1:35" ht="15">
      <c r="A99" s="4" t="s">
        <v>454</v>
      </c>
      <c r="B99" s="25" t="s">
        <v>455</v>
      </c>
      <c r="C99" s="25" t="s">
        <v>39</v>
      </c>
      <c r="D99" s="25" t="s">
        <v>456</v>
      </c>
      <c r="E99" s="25" t="s">
        <v>41</v>
      </c>
      <c r="F99" s="25"/>
      <c r="G99" s="25"/>
      <c r="H99" s="25" t="s">
        <v>436</v>
      </c>
      <c r="I99" s="21" t="s">
        <v>457</v>
      </c>
      <c r="J99" s="21" t="s">
        <v>97</v>
      </c>
      <c r="K99" s="5"/>
      <c r="L99" s="6"/>
      <c r="M99" s="5">
        <f>K99-L99</f>
        <v>0</v>
      </c>
      <c r="N99" s="7"/>
      <c r="O99" s="5">
        <v>730000</v>
      </c>
      <c r="P99" s="8"/>
      <c r="Q99" s="7">
        <v>50000</v>
      </c>
      <c r="R99" s="7">
        <v>400000</v>
      </c>
      <c r="S99" s="7"/>
      <c r="T99" s="9">
        <v>11000000</v>
      </c>
      <c r="U99" s="9"/>
      <c r="V99" s="9">
        <f>4400000*U99</f>
        <v>0</v>
      </c>
      <c r="W99" s="10">
        <f>AI99*8%</f>
        <v>384000</v>
      </c>
      <c r="X99" s="10">
        <f>AI99*1.5%</f>
        <v>72000</v>
      </c>
      <c r="Y99" s="10">
        <f>AI99*1%</f>
        <v>48000</v>
      </c>
      <c r="Z99" s="10">
        <f>AI99*1%</f>
        <v>48000</v>
      </c>
      <c r="AA99" s="11">
        <f>SUM(L99:N99)+S99-T99-SUM(V99:Y99)</f>
        <v>-11504000</v>
      </c>
      <c r="AB99" s="5">
        <f>ROUND(IF(AA99&gt;0,IF(AA99&gt;80000000,(AA99-80000000)*35%+18150000,IF(AA99&gt;52000000,(AA99-52000000)*30%+9750000,IF(AA99&gt;32000000,(AA99-32000000)*25%+4750000,IF(AA99&gt;18000000,(AA99-18000000)*20%+1950000,IF(AA99&gt;10000000,(AA99-10000000)*15%+750000,IF(AA99&gt;5000000,(AA99-5000000)*10%+250000,AA99*5%)))))),0),0)</f>
        <v>0</v>
      </c>
      <c r="AC99" s="5"/>
      <c r="AD99" s="12">
        <f>ROUND(SUM(L99:S99)-SUM(W99:Z99)-AB99+AC99,0)</f>
        <v>628000</v>
      </c>
      <c r="AE99" s="13"/>
      <c r="AF99" s="12">
        <f>SUM(L99:S99)</f>
        <v>1180000</v>
      </c>
      <c r="AG99" s="12">
        <f>SUM(L99+N99)*23.5%</f>
        <v>0</v>
      </c>
      <c r="AH99" s="12">
        <f>SUM(AF99:AG99)</f>
        <v>1180000</v>
      </c>
      <c r="AI99" s="12">
        <f>IF(L99+N99&lt;4800000,4800000,MIN(29800000,L99+N99))</f>
        <v>4800000</v>
      </c>
    </row>
    <row r="100" spans="1:35" ht="15">
      <c r="A100" s="4" t="s">
        <v>458</v>
      </c>
      <c r="B100" s="25" t="s">
        <v>459</v>
      </c>
      <c r="C100" s="25" t="s">
        <v>39</v>
      </c>
      <c r="D100" s="25" t="s">
        <v>460</v>
      </c>
      <c r="E100" s="25" t="s">
        <v>41</v>
      </c>
      <c r="F100" s="25"/>
      <c r="G100" s="25"/>
      <c r="H100" s="25" t="s">
        <v>461</v>
      </c>
      <c r="I100" s="21" t="s">
        <v>462</v>
      </c>
      <c r="J100" s="21" t="s">
        <v>60</v>
      </c>
      <c r="K100" s="5"/>
      <c r="L100" s="6"/>
      <c r="M100" s="5">
        <f>K100-L100</f>
        <v>0</v>
      </c>
      <c r="N100" s="7"/>
      <c r="O100" s="5">
        <v>730000</v>
      </c>
      <c r="P100" s="8"/>
      <c r="Q100" s="7">
        <v>50000</v>
      </c>
      <c r="R100" s="7">
        <v>400000</v>
      </c>
      <c r="S100" s="7"/>
      <c r="T100" s="9">
        <v>11000000</v>
      </c>
      <c r="U100" s="9"/>
      <c r="V100" s="9">
        <f>4400000*U100</f>
        <v>0</v>
      </c>
      <c r="W100" s="10">
        <f>AI100*8%</f>
        <v>384000</v>
      </c>
      <c r="X100" s="10">
        <f>AI100*1.5%</f>
        <v>72000</v>
      </c>
      <c r="Y100" s="10">
        <f>AI100*1%</f>
        <v>48000</v>
      </c>
      <c r="Z100" s="10">
        <f>AI100*1%</f>
        <v>48000</v>
      </c>
      <c r="AA100" s="11">
        <f>SUM(L100:N100)+S100-T100-SUM(V100:Y100)</f>
        <v>-11504000</v>
      </c>
      <c r="AB100" s="5">
        <f>ROUND(IF(AA100&gt;0,IF(AA100&gt;80000000,(AA100-80000000)*35%+18150000,IF(AA100&gt;52000000,(AA100-52000000)*30%+9750000,IF(AA100&gt;32000000,(AA100-32000000)*25%+4750000,IF(AA100&gt;18000000,(AA100-18000000)*20%+1950000,IF(AA100&gt;10000000,(AA100-10000000)*15%+750000,IF(AA100&gt;5000000,(AA100-5000000)*10%+250000,AA100*5%)))))),0),0)</f>
        <v>0</v>
      </c>
      <c r="AC100" s="5"/>
      <c r="AD100" s="12">
        <f>ROUND(SUM(L100:S100)-SUM(W100:Z100)-AB100+AC100,0)</f>
        <v>628000</v>
      </c>
      <c r="AE100" s="13"/>
      <c r="AF100" s="12">
        <f>SUM(L100:S100)</f>
        <v>1180000</v>
      </c>
      <c r="AG100" s="12">
        <f>SUM(L100+N100)*23.5%</f>
        <v>0</v>
      </c>
      <c r="AH100" s="12">
        <f>SUM(AF100:AG100)</f>
        <v>1180000</v>
      </c>
      <c r="AI100" s="12">
        <f>IF(L100+N100&lt;4800000,4800000,MIN(29800000,L100+N100))</f>
        <v>4800000</v>
      </c>
    </row>
    <row r="101" spans="1:35" ht="15">
      <c r="A101" s="4" t="s">
        <v>463</v>
      </c>
      <c r="B101" s="25" t="s">
        <v>464</v>
      </c>
      <c r="C101" s="25" t="s">
        <v>39</v>
      </c>
      <c r="D101" s="25" t="s">
        <v>465</v>
      </c>
      <c r="E101" s="25" t="s">
        <v>41</v>
      </c>
      <c r="F101" s="25"/>
      <c r="G101" s="25"/>
      <c r="H101" s="25" t="s">
        <v>466</v>
      </c>
      <c r="I101" s="21" t="s">
        <v>467</v>
      </c>
      <c r="J101" s="21" t="s">
        <v>354</v>
      </c>
      <c r="K101" s="5"/>
      <c r="L101" s="6"/>
      <c r="M101" s="5">
        <f>K101-L101</f>
        <v>0</v>
      </c>
      <c r="N101" s="7"/>
      <c r="O101" s="5">
        <v>730000</v>
      </c>
      <c r="P101" s="8"/>
      <c r="Q101" s="7">
        <v>50000</v>
      </c>
      <c r="R101" s="7">
        <v>400000</v>
      </c>
      <c r="S101" s="7"/>
      <c r="T101" s="9">
        <v>11000000</v>
      </c>
      <c r="U101" s="9"/>
      <c r="V101" s="9">
        <f>4400000*U101</f>
        <v>0</v>
      </c>
      <c r="W101" s="10">
        <f>AI101*8%</f>
        <v>384000</v>
      </c>
      <c r="X101" s="10">
        <f>AI101*1.5%</f>
        <v>72000</v>
      </c>
      <c r="Y101" s="10">
        <f>AI101*1%</f>
        <v>48000</v>
      </c>
      <c r="Z101" s="10">
        <f>AI101*1%</f>
        <v>48000</v>
      </c>
      <c r="AA101" s="11">
        <f>SUM(L101:N101)+S101-T101-SUM(V101:Y101)</f>
        <v>-11504000</v>
      </c>
      <c r="AB101" s="5">
        <f>ROUND(IF(AA101&gt;0,IF(AA101&gt;80000000,(AA101-80000000)*35%+18150000,IF(AA101&gt;52000000,(AA101-52000000)*30%+9750000,IF(AA101&gt;32000000,(AA101-32000000)*25%+4750000,IF(AA101&gt;18000000,(AA101-18000000)*20%+1950000,IF(AA101&gt;10000000,(AA101-10000000)*15%+750000,IF(AA101&gt;5000000,(AA101-5000000)*10%+250000,AA101*5%)))))),0),0)</f>
        <v>0</v>
      </c>
      <c r="AC101" s="5"/>
      <c r="AD101" s="12">
        <f>ROUND(SUM(L101:S101)-SUM(W101:Z101)-AB101+AC101,0)</f>
        <v>628000</v>
      </c>
      <c r="AE101" s="13"/>
      <c r="AF101" s="12">
        <f>SUM(L101:S101)</f>
        <v>1180000</v>
      </c>
      <c r="AG101" s="12">
        <f>SUM(L101+N101)*23.5%</f>
        <v>0</v>
      </c>
      <c r="AH101" s="12">
        <f>SUM(AF101:AG101)</f>
        <v>1180000</v>
      </c>
      <c r="AI101" s="12">
        <f>IF(L101+N101&lt;4800000,4800000,MIN(29800000,L101+N101))</f>
        <v>4800000</v>
      </c>
    </row>
    <row r="102" spans="1:35" ht="15">
      <c r="A102" s="4" t="s">
        <v>468</v>
      </c>
      <c r="B102" s="25" t="s">
        <v>469</v>
      </c>
      <c r="C102" s="25" t="s">
        <v>39</v>
      </c>
      <c r="D102" s="25" t="s">
        <v>136</v>
      </c>
      <c r="E102" s="25" t="s">
        <v>41</v>
      </c>
      <c r="F102" s="25"/>
      <c r="G102" s="25"/>
      <c r="H102" s="25" t="s">
        <v>466</v>
      </c>
      <c r="I102" s="21" t="s">
        <v>470</v>
      </c>
      <c r="J102" s="21" t="s">
        <v>471</v>
      </c>
      <c r="K102" s="5"/>
      <c r="L102" s="6"/>
      <c r="M102" s="5">
        <f>K102-L102</f>
        <v>0</v>
      </c>
      <c r="N102" s="7"/>
      <c r="O102" s="5">
        <v>730000</v>
      </c>
      <c r="P102" s="8"/>
      <c r="Q102" s="7">
        <v>50000</v>
      </c>
      <c r="R102" s="7">
        <v>400000</v>
      </c>
      <c r="S102" s="7"/>
      <c r="T102" s="9">
        <v>11000000</v>
      </c>
      <c r="U102" s="9"/>
      <c r="V102" s="9">
        <f>4400000*U102</f>
        <v>0</v>
      </c>
      <c r="W102" s="10">
        <f>AI102*8%</f>
        <v>384000</v>
      </c>
      <c r="X102" s="10">
        <f>AI102*1.5%</f>
        <v>72000</v>
      </c>
      <c r="Y102" s="10">
        <f>AI102*1%</f>
        <v>48000</v>
      </c>
      <c r="Z102" s="10">
        <f>AI102*1%</f>
        <v>48000</v>
      </c>
      <c r="AA102" s="11">
        <f>SUM(L102:N102)+S102-T102-SUM(V102:Y102)</f>
        <v>-11504000</v>
      </c>
      <c r="AB102" s="5">
        <f>ROUND(IF(AA102&gt;0,IF(AA102&gt;80000000,(AA102-80000000)*35%+18150000,IF(AA102&gt;52000000,(AA102-52000000)*30%+9750000,IF(AA102&gt;32000000,(AA102-32000000)*25%+4750000,IF(AA102&gt;18000000,(AA102-18000000)*20%+1950000,IF(AA102&gt;10000000,(AA102-10000000)*15%+750000,IF(AA102&gt;5000000,(AA102-5000000)*10%+250000,AA102*5%)))))),0),0)</f>
        <v>0</v>
      </c>
      <c r="AC102" s="5"/>
      <c r="AD102" s="12">
        <f>ROUND(SUM(L102:S102)-SUM(W102:Z102)-AB102+AC102,0)</f>
        <v>628000</v>
      </c>
      <c r="AE102" s="13"/>
      <c r="AF102" s="12">
        <f>SUM(L102:S102)</f>
        <v>1180000</v>
      </c>
      <c r="AG102" s="12">
        <f>SUM(L102+N102)*23.5%</f>
        <v>0</v>
      </c>
      <c r="AH102" s="12">
        <f>SUM(AF102:AG102)</f>
        <v>1180000</v>
      </c>
      <c r="AI102" s="12">
        <f>IF(L102+N102&lt;4800000,4800000,MIN(29800000,L102+N102))</f>
        <v>4800000</v>
      </c>
    </row>
    <row r="103" spans="1:35" ht="15">
      <c r="A103" s="4" t="s">
        <v>472</v>
      </c>
      <c r="B103" s="25" t="s">
        <v>473</v>
      </c>
      <c r="C103" s="25" t="s">
        <v>39</v>
      </c>
      <c r="D103" s="25" t="s">
        <v>474</v>
      </c>
      <c r="E103" s="25" t="s">
        <v>41</v>
      </c>
      <c r="F103" s="25"/>
      <c r="G103" s="25"/>
      <c r="H103" s="25" t="s">
        <v>466</v>
      </c>
      <c r="I103" s="21" t="s">
        <v>475</v>
      </c>
      <c r="J103" s="21" t="s">
        <v>60</v>
      </c>
      <c r="K103" s="5"/>
      <c r="L103" s="6"/>
      <c r="M103" s="5">
        <f>K103-L103</f>
        <v>0</v>
      </c>
      <c r="N103" s="7"/>
      <c r="O103" s="5">
        <v>730000</v>
      </c>
      <c r="P103" s="8"/>
      <c r="Q103" s="7">
        <v>50000</v>
      </c>
      <c r="R103" s="7">
        <v>400000</v>
      </c>
      <c r="S103" s="7"/>
      <c r="T103" s="9">
        <v>11000000</v>
      </c>
      <c r="U103" s="9"/>
      <c r="V103" s="9">
        <f>4400000*U103</f>
        <v>0</v>
      </c>
      <c r="W103" s="10">
        <f>AI103*8%</f>
        <v>384000</v>
      </c>
      <c r="X103" s="10">
        <f>AI103*1.5%</f>
        <v>72000</v>
      </c>
      <c r="Y103" s="10">
        <f>AI103*1%</f>
        <v>48000</v>
      </c>
      <c r="Z103" s="10">
        <f>AI103*1%</f>
        <v>48000</v>
      </c>
      <c r="AA103" s="11">
        <f>SUM(L103:N103)+S103-T103-SUM(V103:Y103)</f>
        <v>-11504000</v>
      </c>
      <c r="AB103" s="5">
        <f>ROUND(IF(AA103&gt;0,IF(AA103&gt;80000000,(AA103-80000000)*35%+18150000,IF(AA103&gt;52000000,(AA103-52000000)*30%+9750000,IF(AA103&gt;32000000,(AA103-32000000)*25%+4750000,IF(AA103&gt;18000000,(AA103-18000000)*20%+1950000,IF(AA103&gt;10000000,(AA103-10000000)*15%+750000,IF(AA103&gt;5000000,(AA103-5000000)*10%+250000,AA103*5%)))))),0),0)</f>
        <v>0</v>
      </c>
      <c r="AC103" s="5"/>
      <c r="AD103" s="12">
        <f>ROUND(SUM(L103:S103)-SUM(W103:Z103)-AB103+AC103,0)</f>
        <v>628000</v>
      </c>
      <c r="AE103" s="13"/>
      <c r="AF103" s="12">
        <f>SUM(L103:S103)</f>
        <v>1180000</v>
      </c>
      <c r="AG103" s="12">
        <f>SUM(L103+N103)*23.5%</f>
        <v>0</v>
      </c>
      <c r="AH103" s="12">
        <f>SUM(AF103:AG103)</f>
        <v>1180000</v>
      </c>
      <c r="AI103" s="12">
        <f>IF(L103+N103&lt;4800000,4800000,MIN(29800000,L103+N103))</f>
        <v>4800000</v>
      </c>
    </row>
    <row r="104" spans="1:35" ht="15">
      <c r="A104" s="4" t="s">
        <v>476</v>
      </c>
      <c r="B104" s="25" t="s">
        <v>477</v>
      </c>
      <c r="C104" s="25" t="s">
        <v>39</v>
      </c>
      <c r="D104" s="25" t="s">
        <v>478</v>
      </c>
      <c r="E104" s="25" t="s">
        <v>41</v>
      </c>
      <c r="F104" s="25"/>
      <c r="G104" s="25"/>
      <c r="H104" s="25" t="s">
        <v>466</v>
      </c>
      <c r="I104" s="21" t="s">
        <v>479</v>
      </c>
      <c r="J104" s="21" t="s">
        <v>354</v>
      </c>
      <c r="K104" s="5"/>
      <c r="L104" s="6"/>
      <c r="M104" s="5">
        <f>K104-L104</f>
        <v>0</v>
      </c>
      <c r="N104" s="7"/>
      <c r="O104" s="5">
        <v>730000</v>
      </c>
      <c r="P104" s="8"/>
      <c r="Q104" s="7">
        <v>50000</v>
      </c>
      <c r="R104" s="7">
        <v>400000</v>
      </c>
      <c r="S104" s="7"/>
      <c r="T104" s="9">
        <v>11000000</v>
      </c>
      <c r="U104" s="9"/>
      <c r="V104" s="9">
        <f>4400000*U104</f>
        <v>0</v>
      </c>
      <c r="W104" s="10">
        <f>AI104*8%</f>
        <v>384000</v>
      </c>
      <c r="X104" s="10">
        <f>AI104*1.5%</f>
        <v>72000</v>
      </c>
      <c r="Y104" s="10">
        <f>AI104*1%</f>
        <v>48000</v>
      </c>
      <c r="Z104" s="10">
        <f>AI104*1%</f>
        <v>48000</v>
      </c>
      <c r="AA104" s="11">
        <f>SUM(L104:N104)+S104-T104-SUM(V104:Y104)</f>
        <v>-11504000</v>
      </c>
      <c r="AB104" s="5">
        <f>ROUND(IF(AA104&gt;0,IF(AA104&gt;80000000,(AA104-80000000)*35%+18150000,IF(AA104&gt;52000000,(AA104-52000000)*30%+9750000,IF(AA104&gt;32000000,(AA104-32000000)*25%+4750000,IF(AA104&gt;18000000,(AA104-18000000)*20%+1950000,IF(AA104&gt;10000000,(AA104-10000000)*15%+750000,IF(AA104&gt;5000000,(AA104-5000000)*10%+250000,AA104*5%)))))),0),0)</f>
        <v>0</v>
      </c>
      <c r="AC104" s="5"/>
      <c r="AD104" s="12">
        <f>ROUND(SUM(L104:S104)-SUM(W104:Z104)-AB104+AC104,0)</f>
        <v>628000</v>
      </c>
      <c r="AE104" s="13"/>
      <c r="AF104" s="12">
        <f>SUM(L104:S104)</f>
        <v>1180000</v>
      </c>
      <c r="AG104" s="12">
        <f>SUM(L104+N104)*23.5%</f>
        <v>0</v>
      </c>
      <c r="AH104" s="12">
        <f>SUM(AF104:AG104)</f>
        <v>1180000</v>
      </c>
      <c r="AI104" s="12">
        <f>IF(L104+N104&lt;4800000,4800000,MIN(29800000,L104+N104))</f>
        <v>4800000</v>
      </c>
    </row>
    <row r="105" spans="1:35" ht="15">
      <c r="A105" s="4" t="s">
        <v>480</v>
      </c>
      <c r="B105" s="25" t="s">
        <v>481</v>
      </c>
      <c r="C105" s="25" t="s">
        <v>39</v>
      </c>
      <c r="D105" s="25" t="s">
        <v>482</v>
      </c>
      <c r="E105" s="25" t="s">
        <v>41</v>
      </c>
      <c r="F105" s="25"/>
      <c r="G105" s="25"/>
      <c r="H105" s="25" t="s">
        <v>466</v>
      </c>
      <c r="I105" s="21" t="s">
        <v>483</v>
      </c>
      <c r="J105" s="21" t="s">
        <v>484</v>
      </c>
      <c r="K105" s="5"/>
      <c r="L105" s="6"/>
      <c r="M105" s="5">
        <f>K105-L105</f>
        <v>0</v>
      </c>
      <c r="N105" s="7"/>
      <c r="O105" s="5">
        <v>730000</v>
      </c>
      <c r="P105" s="8"/>
      <c r="Q105" s="7">
        <v>50000</v>
      </c>
      <c r="R105" s="7">
        <v>400000</v>
      </c>
      <c r="S105" s="7"/>
      <c r="T105" s="9">
        <v>11000000</v>
      </c>
      <c r="U105" s="9"/>
      <c r="V105" s="9">
        <f>4400000*U105</f>
        <v>0</v>
      </c>
      <c r="W105" s="10">
        <f>AI105*8%</f>
        <v>384000</v>
      </c>
      <c r="X105" s="10">
        <f>AI105*1.5%</f>
        <v>72000</v>
      </c>
      <c r="Y105" s="10">
        <f>AI105*1%</f>
        <v>48000</v>
      </c>
      <c r="Z105" s="10">
        <f>AI105*1%</f>
        <v>48000</v>
      </c>
      <c r="AA105" s="11">
        <f>SUM(L105:N105)+S105-T105-SUM(V105:Y105)</f>
        <v>-11504000</v>
      </c>
      <c r="AB105" s="5">
        <f>ROUND(IF(AA105&gt;0,IF(AA105&gt;80000000,(AA105-80000000)*35%+18150000,IF(AA105&gt;52000000,(AA105-52000000)*30%+9750000,IF(AA105&gt;32000000,(AA105-32000000)*25%+4750000,IF(AA105&gt;18000000,(AA105-18000000)*20%+1950000,IF(AA105&gt;10000000,(AA105-10000000)*15%+750000,IF(AA105&gt;5000000,(AA105-5000000)*10%+250000,AA105*5%)))))),0),0)</f>
        <v>0</v>
      </c>
      <c r="AC105" s="5"/>
      <c r="AD105" s="12">
        <f>ROUND(SUM(L105:S105)-SUM(W105:Z105)-AB105+AC105,0)</f>
        <v>628000</v>
      </c>
      <c r="AE105" s="13"/>
      <c r="AF105" s="12">
        <f>SUM(L105:S105)</f>
        <v>1180000</v>
      </c>
      <c r="AG105" s="12">
        <f>SUM(L105+N105)*23.5%</f>
        <v>0</v>
      </c>
      <c r="AH105" s="12">
        <f>SUM(AF105:AG105)</f>
        <v>1180000</v>
      </c>
      <c r="AI105" s="12">
        <f>IF(L105+N105&lt;4800000,4800000,MIN(29800000,L105+N105))</f>
        <v>4800000</v>
      </c>
    </row>
    <row r="106" spans="1:35" ht="15">
      <c r="A106" s="4" t="s">
        <v>39</v>
      </c>
      <c r="B106" s="25" t="s">
        <v>485</v>
      </c>
      <c r="C106" s="25" t="s">
        <v>39</v>
      </c>
      <c r="D106" s="25" t="s">
        <v>486</v>
      </c>
      <c r="E106" s="25" t="s">
        <v>41</v>
      </c>
      <c r="F106" s="25"/>
      <c r="G106" s="25"/>
      <c r="H106" s="25" t="s">
        <v>466</v>
      </c>
      <c r="I106" s="21" t="s">
        <v>487</v>
      </c>
      <c r="J106" s="21" t="s">
        <v>354</v>
      </c>
      <c r="K106" s="5"/>
      <c r="L106" s="6"/>
      <c r="M106" s="5">
        <f>K106-L106</f>
        <v>0</v>
      </c>
      <c r="N106" s="7"/>
      <c r="O106" s="5">
        <v>730000</v>
      </c>
      <c r="P106" s="8"/>
      <c r="Q106" s="7">
        <v>50000</v>
      </c>
      <c r="R106" s="7">
        <v>400000</v>
      </c>
      <c r="S106" s="7"/>
      <c r="T106" s="9">
        <v>11000000</v>
      </c>
      <c r="U106" s="9"/>
      <c r="V106" s="9">
        <f>4400000*U106</f>
        <v>0</v>
      </c>
      <c r="W106" s="10">
        <f>AI106*8%</f>
        <v>384000</v>
      </c>
      <c r="X106" s="10">
        <f>AI106*1.5%</f>
        <v>72000</v>
      </c>
      <c r="Y106" s="10">
        <f>AI106*1%</f>
        <v>48000</v>
      </c>
      <c r="Z106" s="10">
        <f>AI106*1%</f>
        <v>48000</v>
      </c>
      <c r="AA106" s="11">
        <f>SUM(L106:N106)+S106-T106-SUM(V106:Y106)</f>
        <v>-11504000</v>
      </c>
      <c r="AB106" s="5">
        <f>ROUND(IF(AA106&gt;0,IF(AA106&gt;80000000,(AA106-80000000)*35%+18150000,IF(AA106&gt;52000000,(AA106-52000000)*30%+9750000,IF(AA106&gt;32000000,(AA106-32000000)*25%+4750000,IF(AA106&gt;18000000,(AA106-18000000)*20%+1950000,IF(AA106&gt;10000000,(AA106-10000000)*15%+750000,IF(AA106&gt;5000000,(AA106-5000000)*10%+250000,AA106*5%)))))),0),0)</f>
        <v>0</v>
      </c>
      <c r="AC106" s="5"/>
      <c r="AD106" s="12">
        <f>ROUND(SUM(L106:S106)-SUM(W106:Z106)-AB106+AC106,0)</f>
        <v>628000</v>
      </c>
      <c r="AE106" s="13"/>
      <c r="AF106" s="12">
        <f>SUM(L106:S106)</f>
        <v>1180000</v>
      </c>
      <c r="AG106" s="12">
        <f>SUM(L106+N106)*23.5%</f>
        <v>0</v>
      </c>
      <c r="AH106" s="12">
        <f>SUM(AF106:AG106)</f>
        <v>1180000</v>
      </c>
      <c r="AI106" s="12">
        <f>IF(L106+N106&lt;4800000,4800000,MIN(29800000,L106+N106))</f>
        <v>4800000</v>
      </c>
    </row>
    <row r="107" spans="1:35" ht="15">
      <c r="A107" s="4" t="s">
        <v>488</v>
      </c>
      <c r="B107" s="25" t="s">
        <v>489</v>
      </c>
      <c r="C107" s="25" t="s">
        <v>39</v>
      </c>
      <c r="D107" s="25" t="s">
        <v>490</v>
      </c>
      <c r="E107" s="25" t="s">
        <v>41</v>
      </c>
      <c r="F107" s="25"/>
      <c r="G107" s="25"/>
      <c r="H107" s="25" t="s">
        <v>466</v>
      </c>
      <c r="I107" s="21" t="s">
        <v>491</v>
      </c>
      <c r="J107" s="21" t="s">
        <v>60</v>
      </c>
      <c r="K107" s="5"/>
      <c r="L107" s="6"/>
      <c r="M107" s="5">
        <f>K107-L107</f>
        <v>0</v>
      </c>
      <c r="N107" s="7"/>
      <c r="O107" s="5">
        <v>730000</v>
      </c>
      <c r="P107" s="8"/>
      <c r="Q107" s="7">
        <v>50000</v>
      </c>
      <c r="R107" s="7">
        <v>400000</v>
      </c>
      <c r="S107" s="7"/>
      <c r="T107" s="9">
        <v>11000000</v>
      </c>
      <c r="U107" s="9"/>
      <c r="V107" s="9">
        <f>4400000*U107</f>
        <v>0</v>
      </c>
      <c r="W107" s="10">
        <f>AI107*8%</f>
        <v>384000</v>
      </c>
      <c r="X107" s="10">
        <f>AI107*1.5%</f>
        <v>72000</v>
      </c>
      <c r="Y107" s="10">
        <f>AI107*1%</f>
        <v>48000</v>
      </c>
      <c r="Z107" s="10">
        <f>AI107*1%</f>
        <v>48000</v>
      </c>
      <c r="AA107" s="11">
        <f>SUM(L107:N107)+S107-T107-SUM(V107:Y107)</f>
        <v>-11504000</v>
      </c>
      <c r="AB107" s="5">
        <f>ROUND(IF(AA107&gt;0,IF(AA107&gt;80000000,(AA107-80000000)*35%+18150000,IF(AA107&gt;52000000,(AA107-52000000)*30%+9750000,IF(AA107&gt;32000000,(AA107-32000000)*25%+4750000,IF(AA107&gt;18000000,(AA107-18000000)*20%+1950000,IF(AA107&gt;10000000,(AA107-10000000)*15%+750000,IF(AA107&gt;5000000,(AA107-5000000)*10%+250000,AA107*5%)))))),0),0)</f>
        <v>0</v>
      </c>
      <c r="AC107" s="5"/>
      <c r="AD107" s="12">
        <f>ROUND(SUM(L107:S107)-SUM(W107:Z107)-AB107+AC107,0)</f>
        <v>628000</v>
      </c>
      <c r="AE107" s="13"/>
      <c r="AF107" s="12">
        <f>SUM(L107:S107)</f>
        <v>1180000</v>
      </c>
      <c r="AG107" s="12">
        <f>SUM(L107+N107)*23.5%</f>
        <v>0</v>
      </c>
      <c r="AH107" s="12">
        <f>SUM(AF107:AG107)</f>
        <v>1180000</v>
      </c>
      <c r="AI107" s="12">
        <f>IF(L107+N107&lt;4800000,4800000,MIN(29800000,L107+N107))</f>
        <v>4800000</v>
      </c>
    </row>
    <row r="108" spans="1:35" ht="15">
      <c r="A108" s="4" t="s">
        <v>492</v>
      </c>
      <c r="B108" s="25" t="s">
        <v>493</v>
      </c>
      <c r="C108" s="25" t="s">
        <v>39</v>
      </c>
      <c r="D108" s="25" t="s">
        <v>494</v>
      </c>
      <c r="E108" s="25" t="s">
        <v>41</v>
      </c>
      <c r="F108" s="25"/>
      <c r="G108" s="25"/>
      <c r="H108" s="25" t="s">
        <v>495</v>
      </c>
      <c r="I108" s="21" t="s">
        <v>496</v>
      </c>
      <c r="J108" s="21" t="s">
        <v>497</v>
      </c>
      <c r="K108" s="5"/>
      <c r="L108" s="6"/>
      <c r="M108" s="5">
        <f>K108-L108</f>
        <v>0</v>
      </c>
      <c r="N108" s="7"/>
      <c r="O108" s="5">
        <v>730000</v>
      </c>
      <c r="P108" s="8"/>
      <c r="Q108" s="7">
        <v>50000</v>
      </c>
      <c r="R108" s="7">
        <v>400000</v>
      </c>
      <c r="S108" s="7"/>
      <c r="T108" s="9">
        <v>11000000</v>
      </c>
      <c r="U108" s="9"/>
      <c r="V108" s="9">
        <f>4400000*U108</f>
        <v>0</v>
      </c>
      <c r="W108" s="10">
        <f>AI108*8%</f>
        <v>384000</v>
      </c>
      <c r="X108" s="10">
        <f>AI108*1.5%</f>
        <v>72000</v>
      </c>
      <c r="Y108" s="10">
        <f>AI108*1%</f>
        <v>48000</v>
      </c>
      <c r="Z108" s="10">
        <f>AI108*1%</f>
        <v>48000</v>
      </c>
      <c r="AA108" s="11">
        <f>SUM(L108:N108)+S108-T108-SUM(V108:Y108)</f>
        <v>-11504000</v>
      </c>
      <c r="AB108" s="5">
        <f>ROUND(IF(AA108&gt;0,IF(AA108&gt;80000000,(AA108-80000000)*35%+18150000,IF(AA108&gt;52000000,(AA108-52000000)*30%+9750000,IF(AA108&gt;32000000,(AA108-32000000)*25%+4750000,IF(AA108&gt;18000000,(AA108-18000000)*20%+1950000,IF(AA108&gt;10000000,(AA108-10000000)*15%+750000,IF(AA108&gt;5000000,(AA108-5000000)*10%+250000,AA108*5%)))))),0),0)</f>
        <v>0</v>
      </c>
      <c r="AC108" s="5"/>
      <c r="AD108" s="12">
        <f>ROUND(SUM(L108:S108)-SUM(W108:Z108)-AB108+AC108,0)</f>
        <v>628000</v>
      </c>
      <c r="AE108" s="13"/>
      <c r="AF108" s="12">
        <f>SUM(L108:S108)</f>
        <v>1180000</v>
      </c>
      <c r="AG108" s="12">
        <f>SUM(L108+N108)*23.5%</f>
        <v>0</v>
      </c>
      <c r="AH108" s="12">
        <f>SUM(AF108:AG108)</f>
        <v>1180000</v>
      </c>
      <c r="AI108" s="12">
        <f>IF(L108+N108&lt;4800000,4800000,MIN(29800000,L108+N108))</f>
        <v>4800000</v>
      </c>
    </row>
    <row r="109" spans="1:35" ht="15">
      <c r="A109" s="4" t="s">
        <v>498</v>
      </c>
      <c r="B109" s="25" t="s">
        <v>499</v>
      </c>
      <c r="C109" s="25" t="s">
        <v>39</v>
      </c>
      <c r="D109" s="25" t="s">
        <v>500</v>
      </c>
      <c r="E109" s="25" t="s">
        <v>41</v>
      </c>
      <c r="F109" s="25"/>
      <c r="G109" s="25"/>
      <c r="H109" s="25" t="s">
        <v>495</v>
      </c>
      <c r="I109" s="21" t="s">
        <v>501</v>
      </c>
      <c r="J109" s="21" t="s">
        <v>502</v>
      </c>
      <c r="K109" s="5"/>
      <c r="L109" s="6"/>
      <c r="M109" s="5">
        <f>K109-L109</f>
        <v>0</v>
      </c>
      <c r="N109" s="7"/>
      <c r="O109" s="5">
        <v>730000</v>
      </c>
      <c r="P109" s="8"/>
      <c r="Q109" s="7">
        <v>50000</v>
      </c>
      <c r="R109" s="7">
        <v>400000</v>
      </c>
      <c r="S109" s="7"/>
      <c r="T109" s="9">
        <v>11000000</v>
      </c>
      <c r="U109" s="9"/>
      <c r="V109" s="9">
        <f>4400000*U109</f>
        <v>0</v>
      </c>
      <c r="W109" s="10">
        <f>AI109*8%</f>
        <v>384000</v>
      </c>
      <c r="X109" s="10">
        <f>AI109*1.5%</f>
        <v>72000</v>
      </c>
      <c r="Y109" s="10">
        <f>AI109*1%</f>
        <v>48000</v>
      </c>
      <c r="Z109" s="10">
        <f>AI109*1%</f>
        <v>48000</v>
      </c>
      <c r="AA109" s="11">
        <f>SUM(L109:N109)+S109-T109-SUM(V109:Y109)</f>
        <v>-11504000</v>
      </c>
      <c r="AB109" s="5">
        <f>ROUND(IF(AA109&gt;0,IF(AA109&gt;80000000,(AA109-80000000)*35%+18150000,IF(AA109&gt;52000000,(AA109-52000000)*30%+9750000,IF(AA109&gt;32000000,(AA109-32000000)*25%+4750000,IF(AA109&gt;18000000,(AA109-18000000)*20%+1950000,IF(AA109&gt;10000000,(AA109-10000000)*15%+750000,IF(AA109&gt;5000000,(AA109-5000000)*10%+250000,AA109*5%)))))),0),0)</f>
        <v>0</v>
      </c>
      <c r="AC109" s="5"/>
      <c r="AD109" s="12">
        <f>ROUND(SUM(L109:S109)-SUM(W109:Z109)-AB109+AC109,0)</f>
        <v>628000</v>
      </c>
      <c r="AE109" s="13"/>
      <c r="AF109" s="12">
        <f>SUM(L109:S109)</f>
        <v>1180000</v>
      </c>
      <c r="AG109" s="12">
        <f>SUM(L109+N109)*23.5%</f>
        <v>0</v>
      </c>
      <c r="AH109" s="12">
        <f>SUM(AF109:AG109)</f>
        <v>1180000</v>
      </c>
      <c r="AI109" s="12">
        <f>IF(L109+N109&lt;4800000,4800000,MIN(29800000,L109+N109))</f>
        <v>4800000</v>
      </c>
    </row>
    <row r="110" spans="1:35" ht="15">
      <c r="A110" s="4" t="s">
        <v>503</v>
      </c>
      <c r="B110" s="25" t="s">
        <v>504</v>
      </c>
      <c r="C110" s="25" t="s">
        <v>39</v>
      </c>
      <c r="D110" s="25" t="s">
        <v>505</v>
      </c>
      <c r="E110" s="25" t="s">
        <v>41</v>
      </c>
      <c r="F110" s="25"/>
      <c r="G110" s="25"/>
      <c r="H110" s="25" t="s">
        <v>506</v>
      </c>
      <c r="I110" s="21" t="s">
        <v>507</v>
      </c>
      <c r="J110" s="21" t="s">
        <v>508</v>
      </c>
      <c r="K110" s="5"/>
      <c r="L110" s="6"/>
      <c r="M110" s="5">
        <f>K110-L110</f>
        <v>0</v>
      </c>
      <c r="N110" s="7"/>
      <c r="O110" s="5">
        <v>730000</v>
      </c>
      <c r="P110" s="8"/>
      <c r="Q110" s="7">
        <v>50000</v>
      </c>
      <c r="R110" s="7">
        <v>400000</v>
      </c>
      <c r="S110" s="7"/>
      <c r="T110" s="9">
        <v>11000000</v>
      </c>
      <c r="U110" s="9"/>
      <c r="V110" s="9">
        <f>4400000*U110</f>
        <v>0</v>
      </c>
      <c r="W110" s="10">
        <f>AI110*8%</f>
        <v>384000</v>
      </c>
      <c r="X110" s="10">
        <f>AI110*1.5%</f>
        <v>72000</v>
      </c>
      <c r="Y110" s="10">
        <f>AI110*1%</f>
        <v>48000</v>
      </c>
      <c r="Z110" s="10">
        <f>AI110*1%</f>
        <v>48000</v>
      </c>
      <c r="AA110" s="11">
        <f>SUM(L110:N110)+S110-T110-SUM(V110:Y110)</f>
        <v>-11504000</v>
      </c>
      <c r="AB110" s="5">
        <f>ROUND(IF(AA110&gt;0,IF(AA110&gt;80000000,(AA110-80000000)*35%+18150000,IF(AA110&gt;52000000,(AA110-52000000)*30%+9750000,IF(AA110&gt;32000000,(AA110-32000000)*25%+4750000,IF(AA110&gt;18000000,(AA110-18000000)*20%+1950000,IF(AA110&gt;10000000,(AA110-10000000)*15%+750000,IF(AA110&gt;5000000,(AA110-5000000)*10%+250000,AA110*5%)))))),0),0)</f>
        <v>0</v>
      </c>
      <c r="AC110" s="5"/>
      <c r="AD110" s="12">
        <f>ROUND(SUM(L110:S110)-SUM(W110:Z110)-AB110+AC110,0)</f>
        <v>628000</v>
      </c>
      <c r="AE110" s="13"/>
      <c r="AF110" s="12">
        <f>SUM(L110:S110)</f>
        <v>1180000</v>
      </c>
      <c r="AG110" s="12">
        <f>SUM(L110+N110)*23.5%</f>
        <v>0</v>
      </c>
      <c r="AH110" s="12">
        <f>SUM(AF110:AG110)</f>
        <v>1180000</v>
      </c>
      <c r="AI110" s="12">
        <f>IF(L110+N110&lt;4800000,4800000,MIN(29800000,L110+N110))</f>
        <v>4800000</v>
      </c>
    </row>
    <row r="111" spans="1:35" ht="15">
      <c r="A111" s="4" t="s">
        <v>509</v>
      </c>
      <c r="B111" s="25" t="s">
        <v>510</v>
      </c>
      <c r="C111" s="25" t="s">
        <v>39</v>
      </c>
      <c r="D111" s="25" t="s">
        <v>511</v>
      </c>
      <c r="E111" s="25" t="s">
        <v>41</v>
      </c>
      <c r="F111" s="25"/>
      <c r="G111" s="25"/>
      <c r="H111" s="25" t="s">
        <v>506</v>
      </c>
      <c r="I111" s="21" t="s">
        <v>512</v>
      </c>
      <c r="J111" s="21" t="s">
        <v>97</v>
      </c>
      <c r="K111" s="5"/>
      <c r="L111" s="6"/>
      <c r="M111" s="5">
        <f>K111-L111</f>
        <v>0</v>
      </c>
      <c r="N111" s="7"/>
      <c r="O111" s="5">
        <v>730000</v>
      </c>
      <c r="P111" s="8"/>
      <c r="Q111" s="7">
        <v>50000</v>
      </c>
      <c r="R111" s="7">
        <v>400000</v>
      </c>
      <c r="S111" s="7"/>
      <c r="T111" s="9">
        <v>11000000</v>
      </c>
      <c r="U111" s="9"/>
      <c r="V111" s="9">
        <f>4400000*U111</f>
        <v>0</v>
      </c>
      <c r="W111" s="10">
        <f>AI111*8%</f>
        <v>384000</v>
      </c>
      <c r="X111" s="10">
        <f>AI111*1.5%</f>
        <v>72000</v>
      </c>
      <c r="Y111" s="10">
        <f>AI111*1%</f>
        <v>48000</v>
      </c>
      <c r="Z111" s="10">
        <f>AI111*1%</f>
        <v>48000</v>
      </c>
      <c r="AA111" s="11">
        <f>SUM(L111:N111)+S111-T111-SUM(V111:Y111)</f>
        <v>-11504000</v>
      </c>
      <c r="AB111" s="5">
        <f>ROUND(IF(AA111&gt;0,IF(AA111&gt;80000000,(AA111-80000000)*35%+18150000,IF(AA111&gt;52000000,(AA111-52000000)*30%+9750000,IF(AA111&gt;32000000,(AA111-32000000)*25%+4750000,IF(AA111&gt;18000000,(AA111-18000000)*20%+1950000,IF(AA111&gt;10000000,(AA111-10000000)*15%+750000,IF(AA111&gt;5000000,(AA111-5000000)*10%+250000,AA111*5%)))))),0),0)</f>
        <v>0</v>
      </c>
      <c r="AC111" s="5"/>
      <c r="AD111" s="12">
        <f>ROUND(SUM(L111:S111)-SUM(W111:Z111)-AB111+AC111,0)</f>
        <v>628000</v>
      </c>
      <c r="AE111" s="13"/>
      <c r="AF111" s="12">
        <f>SUM(L111:S111)</f>
        <v>1180000</v>
      </c>
      <c r="AG111" s="12">
        <f>SUM(L111+N111)*23.5%</f>
        <v>0</v>
      </c>
      <c r="AH111" s="12">
        <f>SUM(AF111:AG111)</f>
        <v>1180000</v>
      </c>
      <c r="AI111" s="12">
        <f>IF(L111+N111&lt;4800000,4800000,MIN(29800000,L111+N111))</f>
        <v>4800000</v>
      </c>
    </row>
    <row r="112" spans="1:35" ht="15">
      <c r="A112" s="4" t="s">
        <v>513</v>
      </c>
      <c r="B112" s="25" t="s">
        <v>514</v>
      </c>
      <c r="C112" s="25" t="s">
        <v>39</v>
      </c>
      <c r="D112" s="25" t="s">
        <v>515</v>
      </c>
      <c r="E112" s="25" t="s">
        <v>41</v>
      </c>
      <c r="F112" s="25"/>
      <c r="G112" s="25"/>
      <c r="H112" s="25" t="s">
        <v>506</v>
      </c>
      <c r="I112" s="21" t="s">
        <v>516</v>
      </c>
      <c r="J112" s="21" t="s">
        <v>97</v>
      </c>
      <c r="K112" s="5"/>
      <c r="L112" s="6"/>
      <c r="M112" s="5">
        <f>K112-L112</f>
        <v>0</v>
      </c>
      <c r="N112" s="7"/>
      <c r="O112" s="5">
        <v>730000</v>
      </c>
      <c r="P112" s="8"/>
      <c r="Q112" s="7">
        <v>50000</v>
      </c>
      <c r="R112" s="7">
        <v>400000</v>
      </c>
      <c r="S112" s="7"/>
      <c r="T112" s="9">
        <v>11000000</v>
      </c>
      <c r="U112" s="9"/>
      <c r="V112" s="9">
        <f>4400000*U112</f>
        <v>0</v>
      </c>
      <c r="W112" s="10">
        <f>AI112*8%</f>
        <v>384000</v>
      </c>
      <c r="X112" s="10">
        <f>AI112*1.5%</f>
        <v>72000</v>
      </c>
      <c r="Y112" s="10">
        <f>AI112*1%</f>
        <v>48000</v>
      </c>
      <c r="Z112" s="10">
        <f>AI112*1%</f>
        <v>48000</v>
      </c>
      <c r="AA112" s="11">
        <f>SUM(L112:N112)+S112-T112-SUM(V112:Y112)</f>
        <v>-11504000</v>
      </c>
      <c r="AB112" s="5">
        <f>ROUND(IF(AA112&gt;0,IF(AA112&gt;80000000,(AA112-80000000)*35%+18150000,IF(AA112&gt;52000000,(AA112-52000000)*30%+9750000,IF(AA112&gt;32000000,(AA112-32000000)*25%+4750000,IF(AA112&gt;18000000,(AA112-18000000)*20%+1950000,IF(AA112&gt;10000000,(AA112-10000000)*15%+750000,IF(AA112&gt;5000000,(AA112-5000000)*10%+250000,AA112*5%)))))),0),0)</f>
        <v>0</v>
      </c>
      <c r="AC112" s="5"/>
      <c r="AD112" s="12">
        <f>ROUND(SUM(L112:S112)-SUM(W112:Z112)-AB112+AC112,0)</f>
        <v>628000</v>
      </c>
      <c r="AE112" s="13"/>
      <c r="AF112" s="12">
        <f>SUM(L112:S112)</f>
        <v>1180000</v>
      </c>
      <c r="AG112" s="12">
        <f>SUM(L112+N112)*23.5%</f>
        <v>0</v>
      </c>
      <c r="AH112" s="12">
        <f>SUM(AF112:AG112)</f>
        <v>1180000</v>
      </c>
      <c r="AI112" s="12">
        <f>IF(L112+N112&lt;4800000,4800000,MIN(29800000,L112+N112))</f>
        <v>4800000</v>
      </c>
    </row>
    <row r="113" spans="1:35" ht="15">
      <c r="A113" s="4" t="s">
        <v>517</v>
      </c>
      <c r="B113" s="25" t="s">
        <v>518</v>
      </c>
      <c r="C113" s="25" t="s">
        <v>39</v>
      </c>
      <c r="D113" s="25" t="s">
        <v>519</v>
      </c>
      <c r="E113" s="25" t="s">
        <v>41</v>
      </c>
      <c r="F113" s="25"/>
      <c r="G113" s="25"/>
      <c r="H113" s="25" t="s">
        <v>506</v>
      </c>
      <c r="I113" s="21" t="s">
        <v>520</v>
      </c>
      <c r="J113" s="21" t="s">
        <v>97</v>
      </c>
      <c r="K113" s="5"/>
      <c r="L113" s="6"/>
      <c r="M113" s="5">
        <f>K113-L113</f>
        <v>0</v>
      </c>
      <c r="N113" s="7"/>
      <c r="O113" s="5">
        <v>730000</v>
      </c>
      <c r="P113" s="8"/>
      <c r="Q113" s="7">
        <v>50000</v>
      </c>
      <c r="R113" s="7">
        <v>400000</v>
      </c>
      <c r="S113" s="7"/>
      <c r="T113" s="9">
        <v>11000000</v>
      </c>
      <c r="U113" s="9"/>
      <c r="V113" s="9">
        <f>4400000*U113</f>
        <v>0</v>
      </c>
      <c r="W113" s="10">
        <f>AI113*8%</f>
        <v>384000</v>
      </c>
      <c r="X113" s="10">
        <f>AI113*1.5%</f>
        <v>72000</v>
      </c>
      <c r="Y113" s="10">
        <f>AI113*1%</f>
        <v>48000</v>
      </c>
      <c r="Z113" s="10">
        <f>AI113*1%</f>
        <v>48000</v>
      </c>
      <c r="AA113" s="11">
        <f>SUM(L113:N113)+S113-T113-SUM(V113:Y113)</f>
        <v>-11504000</v>
      </c>
      <c r="AB113" s="5">
        <f>ROUND(IF(AA113&gt;0,IF(AA113&gt;80000000,(AA113-80000000)*35%+18150000,IF(AA113&gt;52000000,(AA113-52000000)*30%+9750000,IF(AA113&gt;32000000,(AA113-32000000)*25%+4750000,IF(AA113&gt;18000000,(AA113-18000000)*20%+1950000,IF(AA113&gt;10000000,(AA113-10000000)*15%+750000,IF(AA113&gt;5000000,(AA113-5000000)*10%+250000,AA113*5%)))))),0),0)</f>
        <v>0</v>
      </c>
      <c r="AC113" s="5"/>
      <c r="AD113" s="12">
        <f>ROUND(SUM(L113:S113)-SUM(W113:Z113)-AB113+AC113,0)</f>
        <v>628000</v>
      </c>
      <c r="AE113" s="13"/>
      <c r="AF113" s="12">
        <f>SUM(L113:S113)</f>
        <v>1180000</v>
      </c>
      <c r="AG113" s="12">
        <f>SUM(L113+N113)*23.5%</f>
        <v>0</v>
      </c>
      <c r="AH113" s="12">
        <f>SUM(AF113:AG113)</f>
        <v>1180000</v>
      </c>
      <c r="AI113" s="12">
        <f>IF(L113+N113&lt;4800000,4800000,MIN(29800000,L113+N113))</f>
        <v>4800000</v>
      </c>
    </row>
    <row r="114" spans="1:35" ht="15">
      <c r="A114" s="4" t="s">
        <v>521</v>
      </c>
      <c r="B114" s="25" t="s">
        <v>522</v>
      </c>
      <c r="C114" s="25" t="s">
        <v>39</v>
      </c>
      <c r="D114" s="25" t="s">
        <v>523</v>
      </c>
      <c r="E114" s="25" t="s">
        <v>41</v>
      </c>
      <c r="F114" s="25"/>
      <c r="G114" s="25"/>
      <c r="H114" s="25" t="s">
        <v>506</v>
      </c>
      <c r="I114" s="21" t="s">
        <v>524</v>
      </c>
      <c r="J114" s="21" t="s">
        <v>60</v>
      </c>
      <c r="K114" s="5"/>
      <c r="L114" s="6"/>
      <c r="M114" s="5">
        <f>K114-L114</f>
        <v>0</v>
      </c>
      <c r="N114" s="7"/>
      <c r="O114" s="5">
        <v>730000</v>
      </c>
      <c r="P114" s="8"/>
      <c r="Q114" s="7">
        <v>50000</v>
      </c>
      <c r="R114" s="7">
        <v>400000</v>
      </c>
      <c r="S114" s="7"/>
      <c r="T114" s="9">
        <v>11000000</v>
      </c>
      <c r="U114" s="9"/>
      <c r="V114" s="9">
        <f>4400000*U114</f>
        <v>0</v>
      </c>
      <c r="W114" s="10">
        <f>AI114*8%</f>
        <v>384000</v>
      </c>
      <c r="X114" s="10">
        <f>AI114*1.5%</f>
        <v>72000</v>
      </c>
      <c r="Y114" s="10">
        <f>AI114*1%</f>
        <v>48000</v>
      </c>
      <c r="Z114" s="10">
        <f>AI114*1%</f>
        <v>48000</v>
      </c>
      <c r="AA114" s="11">
        <f>SUM(L114:N114)+S114-T114-SUM(V114:Y114)</f>
        <v>-11504000</v>
      </c>
      <c r="AB114" s="5">
        <f>ROUND(IF(AA114&gt;0,IF(AA114&gt;80000000,(AA114-80000000)*35%+18150000,IF(AA114&gt;52000000,(AA114-52000000)*30%+9750000,IF(AA114&gt;32000000,(AA114-32000000)*25%+4750000,IF(AA114&gt;18000000,(AA114-18000000)*20%+1950000,IF(AA114&gt;10000000,(AA114-10000000)*15%+750000,IF(AA114&gt;5000000,(AA114-5000000)*10%+250000,AA114*5%)))))),0),0)</f>
        <v>0</v>
      </c>
      <c r="AC114" s="5"/>
      <c r="AD114" s="12">
        <f>ROUND(SUM(L114:S114)-SUM(W114:Z114)-AB114+AC114,0)</f>
        <v>628000</v>
      </c>
      <c r="AE114" s="13"/>
      <c r="AF114" s="12">
        <f>SUM(L114:S114)</f>
        <v>1180000</v>
      </c>
      <c r="AG114" s="12">
        <f>SUM(L114+N114)*23.5%</f>
        <v>0</v>
      </c>
      <c r="AH114" s="12">
        <f>SUM(AF114:AG114)</f>
        <v>1180000</v>
      </c>
      <c r="AI114" s="12">
        <f>IF(L114+N114&lt;4800000,4800000,MIN(29800000,L114+N114))</f>
        <v>4800000</v>
      </c>
    </row>
    <row r="115" spans="1:35" ht="15">
      <c r="A115" s="4" t="s">
        <v>525</v>
      </c>
      <c r="B115" s="25" t="s">
        <v>526</v>
      </c>
      <c r="C115" s="25" t="s">
        <v>39</v>
      </c>
      <c r="D115" s="25" t="s">
        <v>527</v>
      </c>
      <c r="E115" s="25" t="s">
        <v>41</v>
      </c>
      <c r="F115" s="25"/>
      <c r="G115" s="25"/>
      <c r="H115" s="25" t="s">
        <v>506</v>
      </c>
      <c r="I115" s="21" t="s">
        <v>528</v>
      </c>
      <c r="J115" s="21" t="s">
        <v>354</v>
      </c>
      <c r="K115" s="5"/>
      <c r="L115" s="6"/>
      <c r="M115" s="5">
        <f>K115-L115</f>
        <v>0</v>
      </c>
      <c r="N115" s="7"/>
      <c r="O115" s="5">
        <v>730000</v>
      </c>
      <c r="P115" s="8"/>
      <c r="Q115" s="7">
        <v>50000</v>
      </c>
      <c r="R115" s="7">
        <v>400000</v>
      </c>
      <c r="S115" s="7"/>
      <c r="T115" s="9">
        <v>11000000</v>
      </c>
      <c r="U115" s="9"/>
      <c r="V115" s="9">
        <f>4400000*U115</f>
        <v>0</v>
      </c>
      <c r="W115" s="10">
        <f>AI115*8%</f>
        <v>384000</v>
      </c>
      <c r="X115" s="10">
        <f>AI115*1.5%</f>
        <v>72000</v>
      </c>
      <c r="Y115" s="10">
        <f>AI115*1%</f>
        <v>48000</v>
      </c>
      <c r="Z115" s="10">
        <f>AI115*1%</f>
        <v>48000</v>
      </c>
      <c r="AA115" s="11">
        <f>SUM(L115:N115)+S115-T115-SUM(V115:Y115)</f>
        <v>-11504000</v>
      </c>
      <c r="AB115" s="5">
        <f>ROUND(IF(AA115&gt;0,IF(AA115&gt;80000000,(AA115-80000000)*35%+18150000,IF(AA115&gt;52000000,(AA115-52000000)*30%+9750000,IF(AA115&gt;32000000,(AA115-32000000)*25%+4750000,IF(AA115&gt;18000000,(AA115-18000000)*20%+1950000,IF(AA115&gt;10000000,(AA115-10000000)*15%+750000,IF(AA115&gt;5000000,(AA115-5000000)*10%+250000,AA115*5%)))))),0),0)</f>
        <v>0</v>
      </c>
      <c r="AC115" s="5"/>
      <c r="AD115" s="12">
        <f>ROUND(SUM(L115:S115)-SUM(W115:Z115)-AB115+AC115,0)</f>
        <v>628000</v>
      </c>
      <c r="AE115" s="13"/>
      <c r="AF115" s="12">
        <f>SUM(L115:S115)</f>
        <v>1180000</v>
      </c>
      <c r="AG115" s="12">
        <f>SUM(L115+N115)*23.5%</f>
        <v>0</v>
      </c>
      <c r="AH115" s="12">
        <f>SUM(AF115:AG115)</f>
        <v>1180000</v>
      </c>
      <c r="AI115" s="12">
        <f>IF(L115+N115&lt;4800000,4800000,MIN(29800000,L115+N115))</f>
        <v>4800000</v>
      </c>
    </row>
    <row r="116" spans="1:35" ht="15">
      <c r="A116" s="4" t="s">
        <v>529</v>
      </c>
      <c r="B116" s="25" t="s">
        <v>530</v>
      </c>
      <c r="C116" s="25" t="s">
        <v>39</v>
      </c>
      <c r="D116" s="25" t="s">
        <v>531</v>
      </c>
      <c r="E116" s="25" t="s">
        <v>41</v>
      </c>
      <c r="F116" s="25"/>
      <c r="G116" s="25"/>
      <c r="H116" s="25" t="s">
        <v>506</v>
      </c>
      <c r="I116" s="21" t="s">
        <v>532</v>
      </c>
      <c r="J116" s="21" t="s">
        <v>97</v>
      </c>
      <c r="K116" s="5"/>
      <c r="L116" s="6"/>
      <c r="M116" s="5">
        <f>K116-L116</f>
        <v>0</v>
      </c>
      <c r="N116" s="7"/>
      <c r="O116" s="5">
        <v>730000</v>
      </c>
      <c r="P116" s="8"/>
      <c r="Q116" s="7">
        <v>50000</v>
      </c>
      <c r="R116" s="7">
        <v>400000</v>
      </c>
      <c r="S116" s="7"/>
      <c r="T116" s="9">
        <v>11000000</v>
      </c>
      <c r="U116" s="9"/>
      <c r="V116" s="9">
        <f>4400000*U116</f>
        <v>0</v>
      </c>
      <c r="W116" s="10">
        <f>AI116*8%</f>
        <v>384000</v>
      </c>
      <c r="X116" s="10">
        <f>AI116*1.5%</f>
        <v>72000</v>
      </c>
      <c r="Y116" s="10">
        <f>AI116*1%</f>
        <v>48000</v>
      </c>
      <c r="Z116" s="10">
        <f>AI116*1%</f>
        <v>48000</v>
      </c>
      <c r="AA116" s="11">
        <f>SUM(L116:N116)+S116-T116-SUM(V116:Y116)</f>
        <v>-11504000</v>
      </c>
      <c r="AB116" s="5">
        <f>ROUND(IF(AA116&gt;0,IF(AA116&gt;80000000,(AA116-80000000)*35%+18150000,IF(AA116&gt;52000000,(AA116-52000000)*30%+9750000,IF(AA116&gt;32000000,(AA116-32000000)*25%+4750000,IF(AA116&gt;18000000,(AA116-18000000)*20%+1950000,IF(AA116&gt;10000000,(AA116-10000000)*15%+750000,IF(AA116&gt;5000000,(AA116-5000000)*10%+250000,AA116*5%)))))),0),0)</f>
        <v>0</v>
      </c>
      <c r="AC116" s="5"/>
      <c r="AD116" s="12">
        <f>ROUND(SUM(L116:S116)-SUM(W116:Z116)-AB116+AC116,0)</f>
        <v>628000</v>
      </c>
      <c r="AE116" s="13"/>
      <c r="AF116" s="12">
        <f>SUM(L116:S116)</f>
        <v>1180000</v>
      </c>
      <c r="AG116" s="12">
        <f>SUM(L116+N116)*23.5%</f>
        <v>0</v>
      </c>
      <c r="AH116" s="12">
        <f>SUM(AF116:AG116)</f>
        <v>1180000</v>
      </c>
      <c r="AI116" s="12">
        <f>IF(L116+N116&lt;4800000,4800000,MIN(29800000,L116+N116))</f>
        <v>4800000</v>
      </c>
    </row>
    <row r="117" spans="1:35" ht="15">
      <c r="A117" s="4" t="s">
        <v>533</v>
      </c>
      <c r="B117" s="25" t="s">
        <v>534</v>
      </c>
      <c r="C117" s="25" t="s">
        <v>39</v>
      </c>
      <c r="D117" s="25" t="s">
        <v>535</v>
      </c>
      <c r="E117" s="25" t="s">
        <v>41</v>
      </c>
      <c r="F117" s="25"/>
      <c r="G117" s="25"/>
      <c r="H117" s="25" t="s">
        <v>506</v>
      </c>
      <c r="I117" s="21" t="s">
        <v>536</v>
      </c>
      <c r="J117" s="21" t="s">
        <v>354</v>
      </c>
      <c r="K117" s="5"/>
      <c r="L117" s="6"/>
      <c r="M117" s="5">
        <f>K117-L117</f>
        <v>0</v>
      </c>
      <c r="N117" s="7"/>
      <c r="O117" s="5">
        <v>730000</v>
      </c>
      <c r="P117" s="8"/>
      <c r="Q117" s="7">
        <v>50000</v>
      </c>
      <c r="R117" s="7">
        <v>400000</v>
      </c>
      <c r="S117" s="7"/>
      <c r="T117" s="9">
        <v>11000000</v>
      </c>
      <c r="U117" s="9"/>
      <c r="V117" s="9">
        <f>4400000*U117</f>
        <v>0</v>
      </c>
      <c r="W117" s="10">
        <f>AI117*8%</f>
        <v>384000</v>
      </c>
      <c r="X117" s="10">
        <f>AI117*1.5%</f>
        <v>72000</v>
      </c>
      <c r="Y117" s="10">
        <f>AI117*1%</f>
        <v>48000</v>
      </c>
      <c r="Z117" s="10">
        <f>AI117*1%</f>
        <v>48000</v>
      </c>
      <c r="AA117" s="11">
        <f>SUM(L117:N117)+S117-T117-SUM(V117:Y117)</f>
        <v>-11504000</v>
      </c>
      <c r="AB117" s="5">
        <f>ROUND(IF(AA117&gt;0,IF(AA117&gt;80000000,(AA117-80000000)*35%+18150000,IF(AA117&gt;52000000,(AA117-52000000)*30%+9750000,IF(AA117&gt;32000000,(AA117-32000000)*25%+4750000,IF(AA117&gt;18000000,(AA117-18000000)*20%+1950000,IF(AA117&gt;10000000,(AA117-10000000)*15%+750000,IF(AA117&gt;5000000,(AA117-5000000)*10%+250000,AA117*5%)))))),0),0)</f>
        <v>0</v>
      </c>
      <c r="AC117" s="5"/>
      <c r="AD117" s="12">
        <f>ROUND(SUM(L117:S117)-SUM(W117:Z117)-AB117+AC117,0)</f>
        <v>628000</v>
      </c>
      <c r="AE117" s="13"/>
      <c r="AF117" s="12">
        <f>SUM(L117:S117)</f>
        <v>1180000</v>
      </c>
      <c r="AG117" s="12">
        <f>SUM(L117+N117)*23.5%</f>
        <v>0</v>
      </c>
      <c r="AH117" s="12">
        <f>SUM(AF117:AG117)</f>
        <v>1180000</v>
      </c>
      <c r="AI117" s="12">
        <f>IF(L117+N117&lt;4800000,4800000,MIN(29800000,L117+N117))</f>
        <v>4800000</v>
      </c>
    </row>
    <row r="118" spans="1:35" ht="15">
      <c r="A118" s="4" t="s">
        <v>537</v>
      </c>
      <c r="B118" s="25" t="s">
        <v>538</v>
      </c>
      <c r="C118" s="25" t="s">
        <v>39</v>
      </c>
      <c r="D118" s="25" t="s">
        <v>539</v>
      </c>
      <c r="E118" s="25" t="s">
        <v>41</v>
      </c>
      <c r="F118" s="25"/>
      <c r="G118" s="25"/>
      <c r="H118" s="25" t="s">
        <v>506</v>
      </c>
      <c r="I118" s="21" t="s">
        <v>540</v>
      </c>
      <c r="J118" s="21" t="s">
        <v>541</v>
      </c>
      <c r="K118" s="5"/>
      <c r="L118" s="6"/>
      <c r="M118" s="5">
        <f>K118-L118</f>
        <v>0</v>
      </c>
      <c r="N118" s="7"/>
      <c r="O118" s="5">
        <v>730000</v>
      </c>
      <c r="P118" s="8"/>
      <c r="Q118" s="7">
        <v>50000</v>
      </c>
      <c r="R118" s="7">
        <v>400000</v>
      </c>
      <c r="S118" s="7"/>
      <c r="T118" s="9">
        <v>11000000</v>
      </c>
      <c r="U118" s="9"/>
      <c r="V118" s="9">
        <f>4400000*U118</f>
        <v>0</v>
      </c>
      <c r="W118" s="10">
        <f>AI118*8%</f>
        <v>384000</v>
      </c>
      <c r="X118" s="10">
        <f>AI118*1.5%</f>
        <v>72000</v>
      </c>
      <c r="Y118" s="10">
        <f>AI118*1%</f>
        <v>48000</v>
      </c>
      <c r="Z118" s="10">
        <f>AI118*1%</f>
        <v>48000</v>
      </c>
      <c r="AA118" s="11">
        <f>SUM(L118:N118)+S118-T118-SUM(V118:Y118)</f>
        <v>-11504000</v>
      </c>
      <c r="AB118" s="5">
        <f>ROUND(IF(AA118&gt;0,IF(AA118&gt;80000000,(AA118-80000000)*35%+18150000,IF(AA118&gt;52000000,(AA118-52000000)*30%+9750000,IF(AA118&gt;32000000,(AA118-32000000)*25%+4750000,IF(AA118&gt;18000000,(AA118-18000000)*20%+1950000,IF(AA118&gt;10000000,(AA118-10000000)*15%+750000,IF(AA118&gt;5000000,(AA118-5000000)*10%+250000,AA118*5%)))))),0),0)</f>
        <v>0</v>
      </c>
      <c r="AC118" s="5"/>
      <c r="AD118" s="12">
        <f>ROUND(SUM(L118:S118)-SUM(W118:Z118)-AB118+AC118,0)</f>
        <v>628000</v>
      </c>
      <c r="AE118" s="13"/>
      <c r="AF118" s="12">
        <f>SUM(L118:S118)</f>
        <v>1180000</v>
      </c>
      <c r="AG118" s="12">
        <f>SUM(L118+N118)*23.5%</f>
        <v>0</v>
      </c>
      <c r="AH118" s="12">
        <f>SUM(AF118:AG118)</f>
        <v>1180000</v>
      </c>
      <c r="AI118" s="12">
        <f>IF(L118+N118&lt;4800000,4800000,MIN(29800000,L118+N118))</f>
        <v>4800000</v>
      </c>
    </row>
    <row r="119" spans="1:35" ht="15">
      <c r="A119" s="4" t="s">
        <v>542</v>
      </c>
      <c r="B119" s="25" t="s">
        <v>543</v>
      </c>
      <c r="C119" s="25" t="s">
        <v>39</v>
      </c>
      <c r="D119" s="25" t="s">
        <v>544</v>
      </c>
      <c r="E119" s="25" t="s">
        <v>41</v>
      </c>
      <c r="F119" s="25"/>
      <c r="G119" s="25"/>
      <c r="H119" s="25" t="s">
        <v>506</v>
      </c>
      <c r="I119" s="21" t="s">
        <v>545</v>
      </c>
      <c r="J119" s="21" t="s">
        <v>354</v>
      </c>
      <c r="K119" s="5"/>
      <c r="L119" s="6"/>
      <c r="M119" s="5">
        <f>K119-L119</f>
        <v>0</v>
      </c>
      <c r="N119" s="7"/>
      <c r="O119" s="5">
        <v>730000</v>
      </c>
      <c r="P119" s="8"/>
      <c r="Q119" s="7">
        <v>50000</v>
      </c>
      <c r="R119" s="7">
        <v>400000</v>
      </c>
      <c r="S119" s="7"/>
      <c r="T119" s="9">
        <v>11000000</v>
      </c>
      <c r="U119" s="9"/>
      <c r="V119" s="9">
        <f>4400000*U119</f>
        <v>0</v>
      </c>
      <c r="W119" s="10">
        <f>AI119*8%</f>
        <v>384000</v>
      </c>
      <c r="X119" s="10">
        <f>AI119*1.5%</f>
        <v>72000</v>
      </c>
      <c r="Y119" s="10">
        <f>AI119*1%</f>
        <v>48000</v>
      </c>
      <c r="Z119" s="10">
        <f>AI119*1%</f>
        <v>48000</v>
      </c>
      <c r="AA119" s="11">
        <f>SUM(L119:N119)+S119-T119-SUM(V119:Y119)</f>
        <v>-11504000</v>
      </c>
      <c r="AB119" s="5">
        <f>ROUND(IF(AA119&gt;0,IF(AA119&gt;80000000,(AA119-80000000)*35%+18150000,IF(AA119&gt;52000000,(AA119-52000000)*30%+9750000,IF(AA119&gt;32000000,(AA119-32000000)*25%+4750000,IF(AA119&gt;18000000,(AA119-18000000)*20%+1950000,IF(AA119&gt;10000000,(AA119-10000000)*15%+750000,IF(AA119&gt;5000000,(AA119-5000000)*10%+250000,AA119*5%)))))),0),0)</f>
        <v>0</v>
      </c>
      <c r="AC119" s="5"/>
      <c r="AD119" s="12">
        <f>ROUND(SUM(L119:S119)-SUM(W119:Z119)-AB119+AC119,0)</f>
        <v>628000</v>
      </c>
      <c r="AE119" s="13"/>
      <c r="AF119" s="12">
        <f>SUM(L119:S119)</f>
        <v>1180000</v>
      </c>
      <c r="AG119" s="12">
        <f>SUM(L119+N119)*23.5%</f>
        <v>0</v>
      </c>
      <c r="AH119" s="12">
        <f>SUM(AF119:AG119)</f>
        <v>1180000</v>
      </c>
      <c r="AI119" s="12">
        <f>IF(L119+N119&lt;4800000,4800000,MIN(29800000,L119+N119))</f>
        <v>4800000</v>
      </c>
    </row>
    <row r="120" spans="1:35" ht="15">
      <c r="A120" s="4" t="s">
        <v>546</v>
      </c>
      <c r="B120" s="25" t="s">
        <v>547</v>
      </c>
      <c r="C120" s="25" t="s">
        <v>39</v>
      </c>
      <c r="D120" s="25" t="s">
        <v>548</v>
      </c>
      <c r="E120" s="25" t="s">
        <v>41</v>
      </c>
      <c r="F120" s="25"/>
      <c r="G120" s="25"/>
      <c r="H120" s="25" t="s">
        <v>506</v>
      </c>
      <c r="I120" s="21" t="s">
        <v>549</v>
      </c>
      <c r="J120" s="21" t="s">
        <v>354</v>
      </c>
      <c r="K120" s="5"/>
      <c r="L120" s="6"/>
      <c r="M120" s="5">
        <f>K120-L120</f>
        <v>0</v>
      </c>
      <c r="N120" s="7"/>
      <c r="O120" s="5">
        <v>730000</v>
      </c>
      <c r="P120" s="8"/>
      <c r="Q120" s="7">
        <v>50000</v>
      </c>
      <c r="R120" s="7">
        <v>400000</v>
      </c>
      <c r="S120" s="7"/>
      <c r="T120" s="9">
        <v>11000000</v>
      </c>
      <c r="U120" s="9"/>
      <c r="V120" s="9">
        <f>4400000*U120</f>
        <v>0</v>
      </c>
      <c r="W120" s="10">
        <f>AI120*8%</f>
        <v>384000</v>
      </c>
      <c r="X120" s="10">
        <f>AI120*1.5%</f>
        <v>72000</v>
      </c>
      <c r="Y120" s="10">
        <f>AI120*1%</f>
        <v>48000</v>
      </c>
      <c r="Z120" s="10">
        <f>AI120*1%</f>
        <v>48000</v>
      </c>
      <c r="AA120" s="11">
        <f>SUM(L120:N120)+S120-T120-SUM(V120:Y120)</f>
        <v>-11504000</v>
      </c>
      <c r="AB120" s="5">
        <f>ROUND(IF(AA120&gt;0,IF(AA120&gt;80000000,(AA120-80000000)*35%+18150000,IF(AA120&gt;52000000,(AA120-52000000)*30%+9750000,IF(AA120&gt;32000000,(AA120-32000000)*25%+4750000,IF(AA120&gt;18000000,(AA120-18000000)*20%+1950000,IF(AA120&gt;10000000,(AA120-10000000)*15%+750000,IF(AA120&gt;5000000,(AA120-5000000)*10%+250000,AA120*5%)))))),0),0)</f>
        <v>0</v>
      </c>
      <c r="AC120" s="5"/>
      <c r="AD120" s="12">
        <f>ROUND(SUM(L120:S120)-SUM(W120:Z120)-AB120+AC120,0)</f>
        <v>628000</v>
      </c>
      <c r="AE120" s="13"/>
      <c r="AF120" s="12">
        <f>SUM(L120:S120)</f>
        <v>1180000</v>
      </c>
      <c r="AG120" s="12">
        <f>SUM(L120+N120)*23.5%</f>
        <v>0</v>
      </c>
      <c r="AH120" s="12">
        <f>SUM(AF120:AG120)</f>
        <v>1180000</v>
      </c>
      <c r="AI120" s="12">
        <f>IF(L120+N120&lt;4800000,4800000,MIN(29800000,L120+N120))</f>
        <v>4800000</v>
      </c>
    </row>
    <row r="121" spans="1:35" ht="15">
      <c r="A121" s="4" t="s">
        <v>550</v>
      </c>
      <c r="B121" s="25" t="s">
        <v>551</v>
      </c>
      <c r="C121" s="25" t="s">
        <v>39</v>
      </c>
      <c r="D121" s="25" t="s">
        <v>552</v>
      </c>
      <c r="E121" s="25" t="s">
        <v>41</v>
      </c>
      <c r="F121" s="25"/>
      <c r="G121" s="25"/>
      <c r="H121" s="25" t="s">
        <v>506</v>
      </c>
      <c r="I121" s="21" t="s">
        <v>553</v>
      </c>
      <c r="J121" s="21" t="s">
        <v>354</v>
      </c>
      <c r="K121" s="5"/>
      <c r="L121" s="6"/>
      <c r="M121" s="5">
        <f>K121-L121</f>
        <v>0</v>
      </c>
      <c r="N121" s="7"/>
      <c r="O121" s="5">
        <v>730000</v>
      </c>
      <c r="P121" s="8"/>
      <c r="Q121" s="7">
        <v>50000</v>
      </c>
      <c r="R121" s="7">
        <v>400000</v>
      </c>
      <c r="S121" s="7"/>
      <c r="T121" s="9">
        <v>11000000</v>
      </c>
      <c r="U121" s="9"/>
      <c r="V121" s="9">
        <f>4400000*U121</f>
        <v>0</v>
      </c>
      <c r="W121" s="10">
        <f>AI121*8%</f>
        <v>384000</v>
      </c>
      <c r="X121" s="10">
        <f>AI121*1.5%</f>
        <v>72000</v>
      </c>
      <c r="Y121" s="10">
        <f>AI121*1%</f>
        <v>48000</v>
      </c>
      <c r="Z121" s="10">
        <f>AI121*1%</f>
        <v>48000</v>
      </c>
      <c r="AA121" s="11">
        <f>SUM(L121:N121)+S121-T121-SUM(V121:Y121)</f>
        <v>-11504000</v>
      </c>
      <c r="AB121" s="5">
        <f>ROUND(IF(AA121&gt;0,IF(AA121&gt;80000000,(AA121-80000000)*35%+18150000,IF(AA121&gt;52000000,(AA121-52000000)*30%+9750000,IF(AA121&gt;32000000,(AA121-32000000)*25%+4750000,IF(AA121&gt;18000000,(AA121-18000000)*20%+1950000,IF(AA121&gt;10000000,(AA121-10000000)*15%+750000,IF(AA121&gt;5000000,(AA121-5000000)*10%+250000,AA121*5%)))))),0),0)</f>
        <v>0</v>
      </c>
      <c r="AC121" s="5"/>
      <c r="AD121" s="12">
        <f>ROUND(SUM(L121:S121)-SUM(W121:Z121)-AB121+AC121,0)</f>
        <v>628000</v>
      </c>
      <c r="AE121" s="13"/>
      <c r="AF121" s="12">
        <f>SUM(L121:S121)</f>
        <v>1180000</v>
      </c>
      <c r="AG121" s="12">
        <f>SUM(L121+N121)*23.5%</f>
        <v>0</v>
      </c>
      <c r="AH121" s="12">
        <f>SUM(AF121:AG121)</f>
        <v>1180000</v>
      </c>
      <c r="AI121" s="12">
        <f>IF(L121+N121&lt;4800000,4800000,MIN(29800000,L121+N121))</f>
        <v>4800000</v>
      </c>
    </row>
    <row r="122" spans="1:35" ht="15">
      <c r="A122" s="4" t="s">
        <v>554</v>
      </c>
      <c r="B122" s="25" t="s">
        <v>555</v>
      </c>
      <c r="C122" s="25" t="s">
        <v>39</v>
      </c>
      <c r="D122" s="25" t="s">
        <v>556</v>
      </c>
      <c r="E122" s="25" t="s">
        <v>41</v>
      </c>
      <c r="F122" s="25"/>
      <c r="G122" s="25"/>
      <c r="H122" s="25" t="s">
        <v>506</v>
      </c>
      <c r="I122" s="21" t="s">
        <v>557</v>
      </c>
      <c r="J122" s="21" t="s">
        <v>354</v>
      </c>
      <c r="K122" s="5"/>
      <c r="L122" s="6"/>
      <c r="M122" s="5">
        <f>K122-L122</f>
        <v>0</v>
      </c>
      <c r="N122" s="7"/>
      <c r="O122" s="5">
        <v>730000</v>
      </c>
      <c r="P122" s="8"/>
      <c r="Q122" s="7">
        <v>50000</v>
      </c>
      <c r="R122" s="7">
        <v>400000</v>
      </c>
      <c r="S122" s="7"/>
      <c r="T122" s="9">
        <v>11000000</v>
      </c>
      <c r="U122" s="9"/>
      <c r="V122" s="9">
        <f>4400000*U122</f>
        <v>0</v>
      </c>
      <c r="W122" s="10">
        <f>AI122*8%</f>
        <v>384000</v>
      </c>
      <c r="X122" s="10">
        <f>AI122*1.5%</f>
        <v>72000</v>
      </c>
      <c r="Y122" s="10">
        <f>AI122*1%</f>
        <v>48000</v>
      </c>
      <c r="Z122" s="10">
        <f>AI122*1%</f>
        <v>48000</v>
      </c>
      <c r="AA122" s="11">
        <f>SUM(L122:N122)+S122-T122-SUM(V122:Y122)</f>
        <v>-11504000</v>
      </c>
      <c r="AB122" s="5">
        <f>ROUND(IF(AA122&gt;0,IF(AA122&gt;80000000,(AA122-80000000)*35%+18150000,IF(AA122&gt;52000000,(AA122-52000000)*30%+9750000,IF(AA122&gt;32000000,(AA122-32000000)*25%+4750000,IF(AA122&gt;18000000,(AA122-18000000)*20%+1950000,IF(AA122&gt;10000000,(AA122-10000000)*15%+750000,IF(AA122&gt;5000000,(AA122-5000000)*10%+250000,AA122*5%)))))),0),0)</f>
        <v>0</v>
      </c>
      <c r="AC122" s="5"/>
      <c r="AD122" s="12">
        <f>ROUND(SUM(L122:S122)-SUM(W122:Z122)-AB122+AC122,0)</f>
        <v>628000</v>
      </c>
      <c r="AE122" s="13"/>
      <c r="AF122" s="12">
        <f>SUM(L122:S122)</f>
        <v>1180000</v>
      </c>
      <c r="AG122" s="12">
        <f>SUM(L122+N122)*23.5%</f>
        <v>0</v>
      </c>
      <c r="AH122" s="12">
        <f>SUM(AF122:AG122)</f>
        <v>1180000</v>
      </c>
      <c r="AI122" s="12">
        <f>IF(L122+N122&lt;4800000,4800000,MIN(29800000,L122+N122))</f>
        <v>4800000</v>
      </c>
    </row>
    <row r="123" spans="1:35" ht="15">
      <c r="A123" s="4" t="s">
        <v>558</v>
      </c>
      <c r="B123" s="25" t="s">
        <v>559</v>
      </c>
      <c r="C123" s="25" t="s">
        <v>39</v>
      </c>
      <c r="D123" s="25" t="s">
        <v>560</v>
      </c>
      <c r="E123" s="25" t="s">
        <v>41</v>
      </c>
      <c r="F123" s="25"/>
      <c r="G123" s="25"/>
      <c r="H123" s="25" t="s">
        <v>506</v>
      </c>
      <c r="I123" s="21" t="s">
        <v>561</v>
      </c>
      <c r="J123" s="21" t="s">
        <v>60</v>
      </c>
      <c r="K123" s="5"/>
      <c r="L123" s="6"/>
      <c r="M123" s="5">
        <f>K123-L123</f>
        <v>0</v>
      </c>
      <c r="N123" s="7"/>
      <c r="O123" s="5">
        <v>730000</v>
      </c>
      <c r="P123" s="8"/>
      <c r="Q123" s="7">
        <v>50000</v>
      </c>
      <c r="R123" s="7">
        <v>400000</v>
      </c>
      <c r="S123" s="7"/>
      <c r="T123" s="9">
        <v>11000000</v>
      </c>
      <c r="U123" s="9"/>
      <c r="V123" s="9">
        <f>4400000*U123</f>
        <v>0</v>
      </c>
      <c r="W123" s="10">
        <f>AI123*8%</f>
        <v>384000</v>
      </c>
      <c r="X123" s="10">
        <f>AI123*1.5%</f>
        <v>72000</v>
      </c>
      <c r="Y123" s="10">
        <f>AI123*1%</f>
        <v>48000</v>
      </c>
      <c r="Z123" s="10">
        <f>AI123*1%</f>
        <v>48000</v>
      </c>
      <c r="AA123" s="11">
        <f>SUM(L123:N123)+S123-T123-SUM(V123:Y123)</f>
        <v>-11504000</v>
      </c>
      <c r="AB123" s="5">
        <f>ROUND(IF(AA123&gt;0,IF(AA123&gt;80000000,(AA123-80000000)*35%+18150000,IF(AA123&gt;52000000,(AA123-52000000)*30%+9750000,IF(AA123&gt;32000000,(AA123-32000000)*25%+4750000,IF(AA123&gt;18000000,(AA123-18000000)*20%+1950000,IF(AA123&gt;10000000,(AA123-10000000)*15%+750000,IF(AA123&gt;5000000,(AA123-5000000)*10%+250000,AA123*5%)))))),0),0)</f>
        <v>0</v>
      </c>
      <c r="AC123" s="5"/>
      <c r="AD123" s="12">
        <f>ROUND(SUM(L123:S123)-SUM(W123:Z123)-AB123+AC123,0)</f>
        <v>628000</v>
      </c>
      <c r="AE123" s="13"/>
      <c r="AF123" s="12">
        <f>SUM(L123:S123)</f>
        <v>1180000</v>
      </c>
      <c r="AG123" s="12">
        <f>SUM(L123+N123)*23.5%</f>
        <v>0</v>
      </c>
      <c r="AH123" s="12">
        <f>SUM(AF123:AG123)</f>
        <v>1180000</v>
      </c>
      <c r="AI123" s="12">
        <f>IF(L123+N123&lt;4800000,4800000,MIN(29800000,L123+N123))</f>
        <v>4800000</v>
      </c>
    </row>
    <row r="124" spans="1:35" ht="15">
      <c r="A124" s="4" t="s">
        <v>562</v>
      </c>
      <c r="B124" s="25" t="s">
        <v>563</v>
      </c>
      <c r="C124" s="25" t="s">
        <v>39</v>
      </c>
      <c r="D124" s="25" t="s">
        <v>564</v>
      </c>
      <c r="E124" s="25" t="s">
        <v>41</v>
      </c>
      <c r="F124" s="25"/>
      <c r="G124" s="25"/>
      <c r="H124" s="25" t="s">
        <v>565</v>
      </c>
      <c r="I124" s="21" t="s">
        <v>566</v>
      </c>
      <c r="J124" s="21" t="s">
        <v>354</v>
      </c>
      <c r="K124" s="5"/>
      <c r="L124" s="6"/>
      <c r="M124" s="5">
        <f>K124-L124</f>
        <v>0</v>
      </c>
      <c r="N124" s="7"/>
      <c r="O124" s="5">
        <v>730000</v>
      </c>
      <c r="P124" s="8"/>
      <c r="Q124" s="7">
        <v>50000</v>
      </c>
      <c r="R124" s="7">
        <v>400000</v>
      </c>
      <c r="S124" s="7"/>
      <c r="T124" s="9">
        <v>11000000</v>
      </c>
      <c r="U124" s="9"/>
      <c r="V124" s="9">
        <f>4400000*U124</f>
        <v>0</v>
      </c>
      <c r="W124" s="10">
        <f>AI124*8%</f>
        <v>384000</v>
      </c>
      <c r="X124" s="10">
        <f>AI124*1.5%</f>
        <v>72000</v>
      </c>
      <c r="Y124" s="10">
        <f>AI124*1%</f>
        <v>48000</v>
      </c>
      <c r="Z124" s="10">
        <f>AI124*1%</f>
        <v>48000</v>
      </c>
      <c r="AA124" s="11">
        <f>SUM(L124:N124)+S124-T124-SUM(V124:Y124)</f>
        <v>-11504000</v>
      </c>
      <c r="AB124" s="5">
        <f>ROUND(IF(AA124&gt;0,IF(AA124&gt;80000000,(AA124-80000000)*35%+18150000,IF(AA124&gt;52000000,(AA124-52000000)*30%+9750000,IF(AA124&gt;32000000,(AA124-32000000)*25%+4750000,IF(AA124&gt;18000000,(AA124-18000000)*20%+1950000,IF(AA124&gt;10000000,(AA124-10000000)*15%+750000,IF(AA124&gt;5000000,(AA124-5000000)*10%+250000,AA124*5%)))))),0),0)</f>
        <v>0</v>
      </c>
      <c r="AC124" s="5"/>
      <c r="AD124" s="12">
        <f>ROUND(SUM(L124:S124)-SUM(W124:Z124)-AB124+AC124,0)</f>
        <v>628000</v>
      </c>
      <c r="AE124" s="13"/>
      <c r="AF124" s="12">
        <f>SUM(L124:S124)</f>
        <v>1180000</v>
      </c>
      <c r="AG124" s="12">
        <f>SUM(L124+N124)*23.5%</f>
        <v>0</v>
      </c>
      <c r="AH124" s="12">
        <f>SUM(AF124:AG124)</f>
        <v>1180000</v>
      </c>
      <c r="AI124" s="12">
        <f>IF(L124+N124&lt;4800000,4800000,MIN(29800000,L124+N124))</f>
        <v>4800000</v>
      </c>
    </row>
    <row r="125" spans="1:35" ht="15">
      <c r="A125" s="4" t="s">
        <v>567</v>
      </c>
      <c r="B125" s="25" t="s">
        <v>568</v>
      </c>
      <c r="C125" s="25" t="s">
        <v>39</v>
      </c>
      <c r="D125" s="25" t="s">
        <v>569</v>
      </c>
      <c r="E125" s="25" t="s">
        <v>41</v>
      </c>
      <c r="F125" s="25"/>
      <c r="G125" s="25"/>
      <c r="H125" s="25" t="s">
        <v>565</v>
      </c>
      <c r="I125" s="21" t="s">
        <v>570</v>
      </c>
      <c r="J125" s="21" t="s">
        <v>123</v>
      </c>
      <c r="K125" s="5"/>
      <c r="L125" s="6"/>
      <c r="M125" s="5">
        <f>K125-L125</f>
        <v>0</v>
      </c>
      <c r="N125" s="7"/>
      <c r="O125" s="5">
        <v>730000</v>
      </c>
      <c r="P125" s="8"/>
      <c r="Q125" s="7">
        <v>50000</v>
      </c>
      <c r="R125" s="7">
        <v>400000</v>
      </c>
      <c r="S125" s="7"/>
      <c r="T125" s="9">
        <v>11000000</v>
      </c>
      <c r="U125" s="9"/>
      <c r="V125" s="9">
        <f>4400000*U125</f>
        <v>0</v>
      </c>
      <c r="W125" s="10">
        <f>AI125*8%</f>
        <v>384000</v>
      </c>
      <c r="X125" s="10">
        <f>AI125*1.5%</f>
        <v>72000</v>
      </c>
      <c r="Y125" s="10">
        <f>AI125*1%</f>
        <v>48000</v>
      </c>
      <c r="Z125" s="10">
        <f>AI125*1%</f>
        <v>48000</v>
      </c>
      <c r="AA125" s="11">
        <f>SUM(L125:N125)+S125-T125-SUM(V125:Y125)</f>
        <v>-11504000</v>
      </c>
      <c r="AB125" s="5">
        <f>ROUND(IF(AA125&gt;0,IF(AA125&gt;80000000,(AA125-80000000)*35%+18150000,IF(AA125&gt;52000000,(AA125-52000000)*30%+9750000,IF(AA125&gt;32000000,(AA125-32000000)*25%+4750000,IF(AA125&gt;18000000,(AA125-18000000)*20%+1950000,IF(AA125&gt;10000000,(AA125-10000000)*15%+750000,IF(AA125&gt;5000000,(AA125-5000000)*10%+250000,AA125*5%)))))),0),0)</f>
        <v>0</v>
      </c>
      <c r="AC125" s="5"/>
      <c r="AD125" s="12">
        <f>ROUND(SUM(L125:S125)-SUM(W125:Z125)-AB125+AC125,0)</f>
        <v>628000</v>
      </c>
      <c r="AE125" s="13"/>
      <c r="AF125" s="12">
        <f>SUM(L125:S125)</f>
        <v>1180000</v>
      </c>
      <c r="AG125" s="12">
        <f>SUM(L125+N125)*23.5%</f>
        <v>0</v>
      </c>
      <c r="AH125" s="12">
        <f>SUM(AF125:AG125)</f>
        <v>1180000</v>
      </c>
      <c r="AI125" s="12">
        <f>IF(L125+N125&lt;4800000,4800000,MIN(29800000,L125+N125))</f>
        <v>4800000</v>
      </c>
    </row>
    <row r="126" spans="1:35" ht="15">
      <c r="A126" s="4" t="s">
        <v>571</v>
      </c>
      <c r="B126" s="25" t="s">
        <v>572</v>
      </c>
      <c r="C126" s="25" t="s">
        <v>39</v>
      </c>
      <c r="D126" s="25" t="s">
        <v>573</v>
      </c>
      <c r="E126" s="25" t="s">
        <v>41</v>
      </c>
      <c r="F126" s="25"/>
      <c r="G126" s="25"/>
      <c r="H126" s="25" t="s">
        <v>565</v>
      </c>
      <c r="I126" s="21" t="s">
        <v>574</v>
      </c>
      <c r="J126" s="21" t="s">
        <v>354</v>
      </c>
      <c r="K126" s="5"/>
      <c r="L126" s="6"/>
      <c r="M126" s="5">
        <f>K126-L126</f>
        <v>0</v>
      </c>
      <c r="N126" s="7"/>
      <c r="O126" s="5">
        <v>730000</v>
      </c>
      <c r="P126" s="8"/>
      <c r="Q126" s="7">
        <v>50000</v>
      </c>
      <c r="R126" s="7">
        <v>400000</v>
      </c>
      <c r="S126" s="7"/>
      <c r="T126" s="9">
        <v>11000000</v>
      </c>
      <c r="U126" s="9"/>
      <c r="V126" s="9">
        <f>4400000*U126</f>
        <v>0</v>
      </c>
      <c r="W126" s="10">
        <f>AI126*8%</f>
        <v>384000</v>
      </c>
      <c r="X126" s="10">
        <f>AI126*1.5%</f>
        <v>72000</v>
      </c>
      <c r="Y126" s="10">
        <f>AI126*1%</f>
        <v>48000</v>
      </c>
      <c r="Z126" s="10">
        <f>AI126*1%</f>
        <v>48000</v>
      </c>
      <c r="AA126" s="11">
        <f>SUM(L126:N126)+S126-T126-SUM(V126:Y126)</f>
        <v>-11504000</v>
      </c>
      <c r="AB126" s="5">
        <f>ROUND(IF(AA126&gt;0,IF(AA126&gt;80000000,(AA126-80000000)*35%+18150000,IF(AA126&gt;52000000,(AA126-52000000)*30%+9750000,IF(AA126&gt;32000000,(AA126-32000000)*25%+4750000,IF(AA126&gt;18000000,(AA126-18000000)*20%+1950000,IF(AA126&gt;10000000,(AA126-10000000)*15%+750000,IF(AA126&gt;5000000,(AA126-5000000)*10%+250000,AA126*5%)))))),0),0)</f>
        <v>0</v>
      </c>
      <c r="AC126" s="5"/>
      <c r="AD126" s="12">
        <f>ROUND(SUM(L126:S126)-SUM(W126:Z126)-AB126+AC126,0)</f>
        <v>628000</v>
      </c>
      <c r="AE126" s="13"/>
      <c r="AF126" s="12">
        <f>SUM(L126:S126)</f>
        <v>1180000</v>
      </c>
      <c r="AG126" s="12">
        <f>SUM(L126+N126)*23.5%</f>
        <v>0</v>
      </c>
      <c r="AH126" s="12">
        <f>SUM(AF126:AG126)</f>
        <v>1180000</v>
      </c>
      <c r="AI126" s="12">
        <f>IF(L126+N126&lt;4800000,4800000,MIN(29800000,L126+N126))</f>
        <v>4800000</v>
      </c>
    </row>
    <row r="127" spans="1:35" ht="15">
      <c r="A127" s="4" t="s">
        <v>575</v>
      </c>
      <c r="B127" s="25" t="s">
        <v>576</v>
      </c>
      <c r="C127" s="25" t="s">
        <v>39</v>
      </c>
      <c r="D127" s="25" t="s">
        <v>577</v>
      </c>
      <c r="E127" s="25" t="s">
        <v>41</v>
      </c>
      <c r="F127" s="25"/>
      <c r="G127" s="25"/>
      <c r="H127" s="25" t="s">
        <v>565</v>
      </c>
      <c r="I127" s="21" t="s">
        <v>578</v>
      </c>
      <c r="J127" s="21" t="s">
        <v>354</v>
      </c>
      <c r="K127" s="5"/>
      <c r="L127" s="6"/>
      <c r="M127" s="5">
        <f>K127-L127</f>
        <v>0</v>
      </c>
      <c r="N127" s="7"/>
      <c r="O127" s="5">
        <v>730000</v>
      </c>
      <c r="P127" s="8"/>
      <c r="Q127" s="7">
        <v>50000</v>
      </c>
      <c r="R127" s="7">
        <v>400000</v>
      </c>
      <c r="S127" s="7"/>
      <c r="T127" s="9">
        <v>11000000</v>
      </c>
      <c r="U127" s="9"/>
      <c r="V127" s="9">
        <f>4400000*U127</f>
        <v>0</v>
      </c>
      <c r="W127" s="10">
        <f>AI127*8%</f>
        <v>384000</v>
      </c>
      <c r="X127" s="10">
        <f>AI127*1.5%</f>
        <v>72000</v>
      </c>
      <c r="Y127" s="10">
        <f>AI127*1%</f>
        <v>48000</v>
      </c>
      <c r="Z127" s="10">
        <f>AI127*1%</f>
        <v>48000</v>
      </c>
      <c r="AA127" s="11">
        <f>SUM(L127:N127)+S127-T127-SUM(V127:Y127)</f>
        <v>-11504000</v>
      </c>
      <c r="AB127" s="5">
        <f>ROUND(IF(AA127&gt;0,IF(AA127&gt;80000000,(AA127-80000000)*35%+18150000,IF(AA127&gt;52000000,(AA127-52000000)*30%+9750000,IF(AA127&gt;32000000,(AA127-32000000)*25%+4750000,IF(AA127&gt;18000000,(AA127-18000000)*20%+1950000,IF(AA127&gt;10000000,(AA127-10000000)*15%+750000,IF(AA127&gt;5000000,(AA127-5000000)*10%+250000,AA127*5%)))))),0),0)</f>
        <v>0</v>
      </c>
      <c r="AC127" s="5"/>
      <c r="AD127" s="12">
        <f>ROUND(SUM(L127:S127)-SUM(W127:Z127)-AB127+AC127,0)</f>
        <v>628000</v>
      </c>
      <c r="AE127" s="13"/>
      <c r="AF127" s="12">
        <f>SUM(L127:S127)</f>
        <v>1180000</v>
      </c>
      <c r="AG127" s="12">
        <f>SUM(L127+N127)*23.5%</f>
        <v>0</v>
      </c>
      <c r="AH127" s="12">
        <f>SUM(AF127:AG127)</f>
        <v>1180000</v>
      </c>
      <c r="AI127" s="12">
        <f>IF(L127+N127&lt;4800000,4800000,MIN(29800000,L127+N127))</f>
        <v>4800000</v>
      </c>
    </row>
    <row r="128" spans="1:35" ht="15">
      <c r="A128" s="4" t="s">
        <v>579</v>
      </c>
      <c r="B128" s="25" t="s">
        <v>580</v>
      </c>
      <c r="C128" s="25" t="s">
        <v>39</v>
      </c>
      <c r="D128" s="25" t="s">
        <v>581</v>
      </c>
      <c r="E128" s="25" t="s">
        <v>41</v>
      </c>
      <c r="F128" s="25"/>
      <c r="G128" s="25"/>
      <c r="H128" s="25" t="s">
        <v>565</v>
      </c>
      <c r="I128" s="21" t="s">
        <v>582</v>
      </c>
      <c r="J128" s="21" t="s">
        <v>583</v>
      </c>
      <c r="K128" s="5"/>
      <c r="L128" s="6"/>
      <c r="M128" s="5">
        <f>K128-L128</f>
        <v>0</v>
      </c>
      <c r="N128" s="7"/>
      <c r="O128" s="5">
        <v>730000</v>
      </c>
      <c r="P128" s="8"/>
      <c r="Q128" s="7">
        <v>50000</v>
      </c>
      <c r="R128" s="7">
        <v>400000</v>
      </c>
      <c r="S128" s="7"/>
      <c r="T128" s="9">
        <v>11000000</v>
      </c>
      <c r="U128" s="9"/>
      <c r="V128" s="9">
        <f>4400000*U128</f>
        <v>0</v>
      </c>
      <c r="W128" s="10">
        <f>AI128*8%</f>
        <v>384000</v>
      </c>
      <c r="X128" s="10">
        <f>AI128*1.5%</f>
        <v>72000</v>
      </c>
      <c r="Y128" s="10">
        <f>AI128*1%</f>
        <v>48000</v>
      </c>
      <c r="Z128" s="10">
        <f>AI128*1%</f>
        <v>48000</v>
      </c>
      <c r="AA128" s="11">
        <f>SUM(L128:N128)+S128-T128-SUM(V128:Y128)</f>
        <v>-11504000</v>
      </c>
      <c r="AB128" s="5">
        <f>ROUND(IF(AA128&gt;0,IF(AA128&gt;80000000,(AA128-80000000)*35%+18150000,IF(AA128&gt;52000000,(AA128-52000000)*30%+9750000,IF(AA128&gt;32000000,(AA128-32000000)*25%+4750000,IF(AA128&gt;18000000,(AA128-18000000)*20%+1950000,IF(AA128&gt;10000000,(AA128-10000000)*15%+750000,IF(AA128&gt;5000000,(AA128-5000000)*10%+250000,AA128*5%)))))),0),0)</f>
        <v>0</v>
      </c>
      <c r="AC128" s="5"/>
      <c r="AD128" s="12">
        <f>ROUND(SUM(L128:S128)-SUM(W128:Z128)-AB128+AC128,0)</f>
        <v>628000</v>
      </c>
      <c r="AE128" s="13"/>
      <c r="AF128" s="12">
        <f>SUM(L128:S128)</f>
        <v>1180000</v>
      </c>
      <c r="AG128" s="12">
        <f>SUM(L128+N128)*23.5%</f>
        <v>0</v>
      </c>
      <c r="AH128" s="12">
        <f>SUM(AF128:AG128)</f>
        <v>1180000</v>
      </c>
      <c r="AI128" s="12">
        <f>IF(L128+N128&lt;4800000,4800000,MIN(29800000,L128+N128))</f>
        <v>4800000</v>
      </c>
    </row>
    <row r="129" spans="1:35" ht="15">
      <c r="A129" s="4" t="s">
        <v>584</v>
      </c>
      <c r="B129" s="25" t="s">
        <v>585</v>
      </c>
      <c r="C129" s="25" t="s">
        <v>39</v>
      </c>
      <c r="D129" s="25" t="s">
        <v>586</v>
      </c>
      <c r="E129" s="25" t="s">
        <v>41</v>
      </c>
      <c r="F129" s="25"/>
      <c r="G129" s="25"/>
      <c r="H129" s="25" t="s">
        <v>565</v>
      </c>
      <c r="I129" s="21" t="s">
        <v>587</v>
      </c>
      <c r="J129" s="21" t="s">
        <v>354</v>
      </c>
      <c r="K129" s="5"/>
      <c r="L129" s="6"/>
      <c r="M129" s="5">
        <f>K129-L129</f>
        <v>0</v>
      </c>
      <c r="N129" s="7"/>
      <c r="O129" s="5">
        <v>730000</v>
      </c>
      <c r="P129" s="8"/>
      <c r="Q129" s="7">
        <v>50000</v>
      </c>
      <c r="R129" s="7">
        <v>400000</v>
      </c>
      <c r="S129" s="7"/>
      <c r="T129" s="9">
        <v>11000000</v>
      </c>
      <c r="U129" s="9"/>
      <c r="V129" s="9">
        <f>4400000*U129</f>
        <v>0</v>
      </c>
      <c r="W129" s="10">
        <f>AI129*8%</f>
        <v>384000</v>
      </c>
      <c r="X129" s="10">
        <f>AI129*1.5%</f>
        <v>72000</v>
      </c>
      <c r="Y129" s="10">
        <f>AI129*1%</f>
        <v>48000</v>
      </c>
      <c r="Z129" s="10">
        <f>AI129*1%</f>
        <v>48000</v>
      </c>
      <c r="AA129" s="11">
        <f>SUM(L129:N129)+S129-T129-SUM(V129:Y129)</f>
        <v>-11504000</v>
      </c>
      <c r="AB129" s="5">
        <f>ROUND(IF(AA129&gt;0,IF(AA129&gt;80000000,(AA129-80000000)*35%+18150000,IF(AA129&gt;52000000,(AA129-52000000)*30%+9750000,IF(AA129&gt;32000000,(AA129-32000000)*25%+4750000,IF(AA129&gt;18000000,(AA129-18000000)*20%+1950000,IF(AA129&gt;10000000,(AA129-10000000)*15%+750000,IF(AA129&gt;5000000,(AA129-5000000)*10%+250000,AA129*5%)))))),0),0)</f>
        <v>0</v>
      </c>
      <c r="AC129" s="5"/>
      <c r="AD129" s="12">
        <f>ROUND(SUM(L129:S129)-SUM(W129:Z129)-AB129+AC129,0)</f>
        <v>628000</v>
      </c>
      <c r="AE129" s="13"/>
      <c r="AF129" s="12">
        <f>SUM(L129:S129)</f>
        <v>1180000</v>
      </c>
      <c r="AG129" s="12">
        <f>SUM(L129+N129)*23.5%</f>
        <v>0</v>
      </c>
      <c r="AH129" s="12">
        <f>SUM(AF129:AG129)</f>
        <v>1180000</v>
      </c>
      <c r="AI129" s="12">
        <f>IF(L129+N129&lt;4800000,4800000,MIN(29800000,L129+N129))</f>
        <v>4800000</v>
      </c>
    </row>
    <row r="130" spans="1:35" ht="15">
      <c r="A130" s="4" t="s">
        <v>588</v>
      </c>
      <c r="B130" s="25" t="s">
        <v>589</v>
      </c>
      <c r="C130" s="25" t="s">
        <v>39</v>
      </c>
      <c r="D130" s="25" t="s">
        <v>590</v>
      </c>
      <c r="E130" s="25" t="s">
        <v>41</v>
      </c>
      <c r="F130" s="25"/>
      <c r="G130" s="25"/>
      <c r="H130" s="25" t="s">
        <v>565</v>
      </c>
      <c r="I130" s="21" t="s">
        <v>591</v>
      </c>
      <c r="J130" s="21" t="s">
        <v>354</v>
      </c>
      <c r="K130" s="5"/>
      <c r="L130" s="6"/>
      <c r="M130" s="5">
        <f>K130-L130</f>
        <v>0</v>
      </c>
      <c r="N130" s="7"/>
      <c r="O130" s="5">
        <v>730000</v>
      </c>
      <c r="P130" s="8"/>
      <c r="Q130" s="7">
        <v>50000</v>
      </c>
      <c r="R130" s="7">
        <v>400000</v>
      </c>
      <c r="S130" s="7"/>
      <c r="T130" s="9">
        <v>11000000</v>
      </c>
      <c r="U130" s="9"/>
      <c r="V130" s="9">
        <f>4400000*U130</f>
        <v>0</v>
      </c>
      <c r="W130" s="10">
        <f>AI130*8%</f>
        <v>384000</v>
      </c>
      <c r="X130" s="10">
        <f>AI130*1.5%</f>
        <v>72000</v>
      </c>
      <c r="Y130" s="10">
        <f>AI130*1%</f>
        <v>48000</v>
      </c>
      <c r="Z130" s="10">
        <f>AI130*1%</f>
        <v>48000</v>
      </c>
      <c r="AA130" s="11">
        <f>SUM(L130:N130)+S130-T130-SUM(V130:Y130)</f>
        <v>-11504000</v>
      </c>
      <c r="AB130" s="5">
        <f>ROUND(IF(AA130&gt;0,IF(AA130&gt;80000000,(AA130-80000000)*35%+18150000,IF(AA130&gt;52000000,(AA130-52000000)*30%+9750000,IF(AA130&gt;32000000,(AA130-32000000)*25%+4750000,IF(AA130&gt;18000000,(AA130-18000000)*20%+1950000,IF(AA130&gt;10000000,(AA130-10000000)*15%+750000,IF(AA130&gt;5000000,(AA130-5000000)*10%+250000,AA130*5%)))))),0),0)</f>
        <v>0</v>
      </c>
      <c r="AC130" s="5"/>
      <c r="AD130" s="12">
        <f>ROUND(SUM(L130:S130)-SUM(W130:Z130)-AB130+AC130,0)</f>
        <v>628000</v>
      </c>
      <c r="AE130" s="13"/>
      <c r="AF130" s="12">
        <f>SUM(L130:S130)</f>
        <v>1180000</v>
      </c>
      <c r="AG130" s="12">
        <f>SUM(L130+N130)*23.5%</f>
        <v>0</v>
      </c>
      <c r="AH130" s="12">
        <f>SUM(AF130:AG130)</f>
        <v>1180000</v>
      </c>
      <c r="AI130" s="12">
        <f>IF(L130+N130&lt;4800000,4800000,MIN(29800000,L130+N130))</f>
        <v>4800000</v>
      </c>
    </row>
    <row r="131" spans="1:35" ht="15">
      <c r="A131" s="4" t="s">
        <v>592</v>
      </c>
      <c r="B131" s="25" t="s">
        <v>593</v>
      </c>
      <c r="C131" s="25" t="s">
        <v>39</v>
      </c>
      <c r="D131" s="25" t="s">
        <v>594</v>
      </c>
      <c r="E131" s="25" t="s">
        <v>41</v>
      </c>
      <c r="F131" s="25"/>
      <c r="G131" s="25"/>
      <c r="H131" s="25" t="s">
        <v>565</v>
      </c>
      <c r="I131" s="21" t="s">
        <v>595</v>
      </c>
      <c r="J131" s="21" t="s">
        <v>354</v>
      </c>
      <c r="K131" s="5"/>
      <c r="L131" s="6"/>
      <c r="M131" s="5">
        <f>K131-L131</f>
        <v>0</v>
      </c>
      <c r="N131" s="7"/>
      <c r="O131" s="5">
        <v>730000</v>
      </c>
      <c r="P131" s="8"/>
      <c r="Q131" s="7">
        <v>50000</v>
      </c>
      <c r="R131" s="7">
        <v>400000</v>
      </c>
      <c r="S131" s="7"/>
      <c r="T131" s="9">
        <v>11000000</v>
      </c>
      <c r="U131" s="9"/>
      <c r="V131" s="9">
        <f>4400000*U131</f>
        <v>0</v>
      </c>
      <c r="W131" s="10">
        <f>AI131*8%</f>
        <v>384000</v>
      </c>
      <c r="X131" s="10">
        <f>AI131*1.5%</f>
        <v>72000</v>
      </c>
      <c r="Y131" s="10">
        <f>AI131*1%</f>
        <v>48000</v>
      </c>
      <c r="Z131" s="10">
        <f>AI131*1%</f>
        <v>48000</v>
      </c>
      <c r="AA131" s="11">
        <f>SUM(L131:N131)+S131-T131-SUM(V131:Y131)</f>
        <v>-11504000</v>
      </c>
      <c r="AB131" s="5">
        <f>ROUND(IF(AA131&gt;0,IF(AA131&gt;80000000,(AA131-80000000)*35%+18150000,IF(AA131&gt;52000000,(AA131-52000000)*30%+9750000,IF(AA131&gt;32000000,(AA131-32000000)*25%+4750000,IF(AA131&gt;18000000,(AA131-18000000)*20%+1950000,IF(AA131&gt;10000000,(AA131-10000000)*15%+750000,IF(AA131&gt;5000000,(AA131-5000000)*10%+250000,AA131*5%)))))),0),0)</f>
        <v>0</v>
      </c>
      <c r="AC131" s="5"/>
      <c r="AD131" s="12">
        <f>ROUND(SUM(L131:S131)-SUM(W131:Z131)-AB131+AC131,0)</f>
        <v>628000</v>
      </c>
      <c r="AE131" s="13"/>
      <c r="AF131" s="12">
        <f>SUM(L131:S131)</f>
        <v>1180000</v>
      </c>
      <c r="AG131" s="12">
        <f>SUM(L131+N131)*23.5%</f>
        <v>0</v>
      </c>
      <c r="AH131" s="12">
        <f>SUM(AF131:AG131)</f>
        <v>1180000</v>
      </c>
      <c r="AI131" s="12">
        <f>IF(L131+N131&lt;4800000,4800000,MIN(29800000,L131+N131))</f>
        <v>4800000</v>
      </c>
    </row>
    <row r="132" spans="1:35" ht="15">
      <c r="A132" s="4" t="s">
        <v>596</v>
      </c>
      <c r="B132" s="25" t="s">
        <v>597</v>
      </c>
      <c r="C132" s="25" t="s">
        <v>39</v>
      </c>
      <c r="D132" s="25" t="s">
        <v>598</v>
      </c>
      <c r="E132" s="25" t="s">
        <v>41</v>
      </c>
      <c r="F132" s="25"/>
      <c r="G132" s="25"/>
      <c r="H132" s="25" t="s">
        <v>599</v>
      </c>
      <c r="I132" s="21" t="s">
        <v>600</v>
      </c>
      <c r="J132" s="21" t="s">
        <v>354</v>
      </c>
      <c r="K132" s="5"/>
      <c r="L132" s="6"/>
      <c r="M132" s="5">
        <f>K132-L132</f>
        <v>0</v>
      </c>
      <c r="N132" s="7"/>
      <c r="O132" s="5">
        <v>730000</v>
      </c>
      <c r="P132" s="8"/>
      <c r="Q132" s="7">
        <v>50000</v>
      </c>
      <c r="R132" s="7">
        <v>400000</v>
      </c>
      <c r="S132" s="7"/>
      <c r="T132" s="9">
        <v>11000000</v>
      </c>
      <c r="U132" s="9"/>
      <c r="V132" s="9">
        <f>4400000*U132</f>
        <v>0</v>
      </c>
      <c r="W132" s="10">
        <f>AI132*8%</f>
        <v>384000</v>
      </c>
      <c r="X132" s="10">
        <f>AI132*1.5%</f>
        <v>72000</v>
      </c>
      <c r="Y132" s="10">
        <f>AI132*1%</f>
        <v>48000</v>
      </c>
      <c r="Z132" s="10">
        <f>AI132*1%</f>
        <v>48000</v>
      </c>
      <c r="AA132" s="11">
        <f>SUM(L132:N132)+S132-T132-SUM(V132:Y132)</f>
        <v>-11504000</v>
      </c>
      <c r="AB132" s="5">
        <f>ROUND(IF(AA132&gt;0,IF(AA132&gt;80000000,(AA132-80000000)*35%+18150000,IF(AA132&gt;52000000,(AA132-52000000)*30%+9750000,IF(AA132&gt;32000000,(AA132-32000000)*25%+4750000,IF(AA132&gt;18000000,(AA132-18000000)*20%+1950000,IF(AA132&gt;10000000,(AA132-10000000)*15%+750000,IF(AA132&gt;5000000,(AA132-5000000)*10%+250000,AA132*5%)))))),0),0)</f>
        <v>0</v>
      </c>
      <c r="AC132" s="5"/>
      <c r="AD132" s="12">
        <f>ROUND(SUM(L132:S132)-SUM(W132:Z132)-AB132+AC132,0)</f>
        <v>628000</v>
      </c>
      <c r="AE132" s="13"/>
      <c r="AF132" s="12">
        <f>SUM(L132:S132)</f>
        <v>1180000</v>
      </c>
      <c r="AG132" s="12">
        <f>SUM(L132+N132)*23.5%</f>
        <v>0</v>
      </c>
      <c r="AH132" s="12">
        <f>SUM(AF132:AG132)</f>
        <v>1180000</v>
      </c>
      <c r="AI132" s="12">
        <f>IF(L132+N132&lt;4800000,4800000,MIN(29800000,L132+N132))</f>
        <v>4800000</v>
      </c>
    </row>
    <row r="133" spans="1:35" ht="15">
      <c r="A133" s="4" t="s">
        <v>601</v>
      </c>
      <c r="B133" s="25" t="s">
        <v>602</v>
      </c>
      <c r="C133" s="25" t="s">
        <v>39</v>
      </c>
      <c r="D133" s="25" t="s">
        <v>603</v>
      </c>
      <c r="E133" s="25" t="s">
        <v>41</v>
      </c>
      <c r="F133" s="25"/>
      <c r="G133" s="25"/>
      <c r="H133" s="25" t="s">
        <v>599</v>
      </c>
      <c r="I133" s="21" t="s">
        <v>604</v>
      </c>
      <c r="J133" s="21" t="s">
        <v>123</v>
      </c>
      <c r="K133" s="5"/>
      <c r="L133" s="6"/>
      <c r="M133" s="5">
        <f>K133-L133</f>
        <v>0</v>
      </c>
      <c r="N133" s="7"/>
      <c r="O133" s="5">
        <v>730000</v>
      </c>
      <c r="P133" s="8"/>
      <c r="Q133" s="7">
        <v>50000</v>
      </c>
      <c r="R133" s="7">
        <v>400000</v>
      </c>
      <c r="S133" s="7"/>
      <c r="T133" s="9">
        <v>11000000</v>
      </c>
      <c r="U133" s="9"/>
      <c r="V133" s="9">
        <f>4400000*U133</f>
        <v>0</v>
      </c>
      <c r="W133" s="10">
        <f>AI133*8%</f>
        <v>384000</v>
      </c>
      <c r="X133" s="10">
        <f>AI133*1.5%</f>
        <v>72000</v>
      </c>
      <c r="Y133" s="10">
        <f>AI133*1%</f>
        <v>48000</v>
      </c>
      <c r="Z133" s="10">
        <f>AI133*1%</f>
        <v>48000</v>
      </c>
      <c r="AA133" s="11">
        <f>SUM(L133:N133)+S133-T133-SUM(V133:Y133)</f>
        <v>-11504000</v>
      </c>
      <c r="AB133" s="5">
        <f>ROUND(IF(AA133&gt;0,IF(AA133&gt;80000000,(AA133-80000000)*35%+18150000,IF(AA133&gt;52000000,(AA133-52000000)*30%+9750000,IF(AA133&gt;32000000,(AA133-32000000)*25%+4750000,IF(AA133&gt;18000000,(AA133-18000000)*20%+1950000,IF(AA133&gt;10000000,(AA133-10000000)*15%+750000,IF(AA133&gt;5000000,(AA133-5000000)*10%+250000,AA133*5%)))))),0),0)</f>
        <v>0</v>
      </c>
      <c r="AC133" s="5"/>
      <c r="AD133" s="12">
        <f>ROUND(SUM(L133:S133)-SUM(W133:Z133)-AB133+AC133,0)</f>
        <v>628000</v>
      </c>
      <c r="AE133" s="13"/>
      <c r="AF133" s="12">
        <f>SUM(L133:S133)</f>
        <v>1180000</v>
      </c>
      <c r="AG133" s="12">
        <f>SUM(L133+N133)*23.5%</f>
        <v>0</v>
      </c>
      <c r="AH133" s="12">
        <f>SUM(AF133:AG133)</f>
        <v>1180000</v>
      </c>
      <c r="AI133" s="12">
        <f>IF(L133+N133&lt;4800000,4800000,MIN(29800000,L133+N133))</f>
        <v>4800000</v>
      </c>
    </row>
    <row r="134" spans="1:35" ht="15">
      <c r="A134" s="4" t="s">
        <v>605</v>
      </c>
      <c r="B134" s="25" t="s">
        <v>606</v>
      </c>
      <c r="C134" s="25" t="s">
        <v>39</v>
      </c>
      <c r="D134" s="25" t="s">
        <v>607</v>
      </c>
      <c r="E134" s="25" t="s">
        <v>41</v>
      </c>
      <c r="F134" s="25"/>
      <c r="G134" s="25"/>
      <c r="H134" s="25" t="s">
        <v>599</v>
      </c>
      <c r="I134" s="21" t="s">
        <v>608</v>
      </c>
      <c r="J134" s="21" t="s">
        <v>354</v>
      </c>
      <c r="K134" s="5"/>
      <c r="L134" s="6"/>
      <c r="M134" s="5">
        <f>K134-L134</f>
        <v>0</v>
      </c>
      <c r="N134" s="7"/>
      <c r="O134" s="5">
        <v>730000</v>
      </c>
      <c r="P134" s="8"/>
      <c r="Q134" s="7">
        <v>50000</v>
      </c>
      <c r="R134" s="7">
        <v>400000</v>
      </c>
      <c r="S134" s="7"/>
      <c r="T134" s="9">
        <v>11000000</v>
      </c>
      <c r="U134" s="9"/>
      <c r="V134" s="9">
        <f>4400000*U134</f>
        <v>0</v>
      </c>
      <c r="W134" s="10">
        <f>AI134*8%</f>
        <v>384000</v>
      </c>
      <c r="X134" s="10">
        <f>AI134*1.5%</f>
        <v>72000</v>
      </c>
      <c r="Y134" s="10">
        <f>AI134*1%</f>
        <v>48000</v>
      </c>
      <c r="Z134" s="10">
        <f>AI134*1%</f>
        <v>48000</v>
      </c>
      <c r="AA134" s="11">
        <f>SUM(L134:N134)+S134-T134-SUM(V134:Y134)</f>
        <v>-11504000</v>
      </c>
      <c r="AB134" s="5">
        <f>ROUND(IF(AA134&gt;0,IF(AA134&gt;80000000,(AA134-80000000)*35%+18150000,IF(AA134&gt;52000000,(AA134-52000000)*30%+9750000,IF(AA134&gt;32000000,(AA134-32000000)*25%+4750000,IF(AA134&gt;18000000,(AA134-18000000)*20%+1950000,IF(AA134&gt;10000000,(AA134-10000000)*15%+750000,IF(AA134&gt;5000000,(AA134-5000000)*10%+250000,AA134*5%)))))),0),0)</f>
        <v>0</v>
      </c>
      <c r="AC134" s="5"/>
      <c r="AD134" s="12">
        <f>ROUND(SUM(L134:S134)-SUM(W134:Z134)-AB134+AC134,0)</f>
        <v>628000</v>
      </c>
      <c r="AE134" s="13"/>
      <c r="AF134" s="12">
        <f>SUM(L134:S134)</f>
        <v>1180000</v>
      </c>
      <c r="AG134" s="12">
        <f>SUM(L134+N134)*23.5%</f>
        <v>0</v>
      </c>
      <c r="AH134" s="12">
        <f>SUM(AF134:AG134)</f>
        <v>1180000</v>
      </c>
      <c r="AI134" s="12">
        <f>IF(L134+N134&lt;4800000,4800000,MIN(29800000,L134+N134))</f>
        <v>4800000</v>
      </c>
    </row>
    <row r="135" spans="1:35" ht="15">
      <c r="A135" s="4" t="s">
        <v>609</v>
      </c>
      <c r="B135" s="25" t="s">
        <v>610</v>
      </c>
      <c r="C135" s="25" t="s">
        <v>39</v>
      </c>
      <c r="D135" s="25" t="s">
        <v>611</v>
      </c>
      <c r="E135" s="25" t="s">
        <v>41</v>
      </c>
      <c r="F135" s="25"/>
      <c r="G135" s="25"/>
      <c r="H135" s="25" t="s">
        <v>599</v>
      </c>
      <c r="I135" s="21" t="s">
        <v>612</v>
      </c>
      <c r="J135" s="21" t="s">
        <v>354</v>
      </c>
      <c r="K135" s="5"/>
      <c r="L135" s="6"/>
      <c r="M135" s="5">
        <f>K135-L135</f>
        <v>0</v>
      </c>
      <c r="N135" s="7"/>
      <c r="O135" s="5">
        <v>730000</v>
      </c>
      <c r="P135" s="8"/>
      <c r="Q135" s="7">
        <v>50000</v>
      </c>
      <c r="R135" s="7">
        <v>400000</v>
      </c>
      <c r="S135" s="7"/>
      <c r="T135" s="9">
        <v>11000000</v>
      </c>
      <c r="U135" s="9"/>
      <c r="V135" s="9">
        <f>4400000*U135</f>
        <v>0</v>
      </c>
      <c r="W135" s="10">
        <f>AI135*8%</f>
        <v>384000</v>
      </c>
      <c r="X135" s="10">
        <f>AI135*1.5%</f>
        <v>72000</v>
      </c>
      <c r="Y135" s="10">
        <f>AI135*1%</f>
        <v>48000</v>
      </c>
      <c r="Z135" s="10">
        <f>AI135*1%</f>
        <v>48000</v>
      </c>
      <c r="AA135" s="11">
        <f>SUM(L135:N135)+S135-T135-SUM(V135:Y135)</f>
        <v>-11504000</v>
      </c>
      <c r="AB135" s="5">
        <f>ROUND(IF(AA135&gt;0,IF(AA135&gt;80000000,(AA135-80000000)*35%+18150000,IF(AA135&gt;52000000,(AA135-52000000)*30%+9750000,IF(AA135&gt;32000000,(AA135-32000000)*25%+4750000,IF(AA135&gt;18000000,(AA135-18000000)*20%+1950000,IF(AA135&gt;10000000,(AA135-10000000)*15%+750000,IF(AA135&gt;5000000,(AA135-5000000)*10%+250000,AA135*5%)))))),0),0)</f>
        <v>0</v>
      </c>
      <c r="AC135" s="5"/>
      <c r="AD135" s="12">
        <f>ROUND(SUM(L135:S135)-SUM(W135:Z135)-AB135+AC135,0)</f>
        <v>628000</v>
      </c>
      <c r="AE135" s="13"/>
      <c r="AF135" s="12">
        <f>SUM(L135:S135)</f>
        <v>1180000</v>
      </c>
      <c r="AG135" s="12">
        <f>SUM(L135+N135)*23.5%</f>
        <v>0</v>
      </c>
      <c r="AH135" s="12">
        <f>SUM(AF135:AG135)</f>
        <v>1180000</v>
      </c>
      <c r="AI135" s="12">
        <f>IF(L135+N135&lt;4800000,4800000,MIN(29800000,L135+N135))</f>
        <v>4800000</v>
      </c>
    </row>
    <row r="136" spans="1:35" ht="15">
      <c r="A136" s="4" t="s">
        <v>613</v>
      </c>
      <c r="B136" s="25" t="s">
        <v>614</v>
      </c>
      <c r="C136" s="25" t="s">
        <v>39</v>
      </c>
      <c r="D136" s="25" t="s">
        <v>615</v>
      </c>
      <c r="E136" s="25" t="s">
        <v>41</v>
      </c>
      <c r="F136" s="25"/>
      <c r="G136" s="25"/>
      <c r="H136" s="25" t="s">
        <v>599</v>
      </c>
      <c r="I136" s="21" t="s">
        <v>616</v>
      </c>
      <c r="J136" s="21" t="s">
        <v>97</v>
      </c>
      <c r="K136" s="5"/>
      <c r="L136" s="6"/>
      <c r="M136" s="5">
        <f>K136-L136</f>
        <v>0</v>
      </c>
      <c r="N136" s="7"/>
      <c r="O136" s="5">
        <v>730000</v>
      </c>
      <c r="P136" s="8"/>
      <c r="Q136" s="7">
        <v>50000</v>
      </c>
      <c r="R136" s="7">
        <v>400000</v>
      </c>
      <c r="S136" s="7"/>
      <c r="T136" s="9">
        <v>11000000</v>
      </c>
      <c r="U136" s="9"/>
      <c r="V136" s="9">
        <f>4400000*U136</f>
        <v>0</v>
      </c>
      <c r="W136" s="10">
        <f>AI136*8%</f>
        <v>384000</v>
      </c>
      <c r="X136" s="10">
        <f>AI136*1.5%</f>
        <v>72000</v>
      </c>
      <c r="Y136" s="10">
        <f>AI136*1%</f>
        <v>48000</v>
      </c>
      <c r="Z136" s="10">
        <f>AI136*1%</f>
        <v>48000</v>
      </c>
      <c r="AA136" s="11">
        <f>SUM(L136:N136)+S136-T136-SUM(V136:Y136)</f>
        <v>-11504000</v>
      </c>
      <c r="AB136" s="5">
        <f>ROUND(IF(AA136&gt;0,IF(AA136&gt;80000000,(AA136-80000000)*35%+18150000,IF(AA136&gt;52000000,(AA136-52000000)*30%+9750000,IF(AA136&gt;32000000,(AA136-32000000)*25%+4750000,IF(AA136&gt;18000000,(AA136-18000000)*20%+1950000,IF(AA136&gt;10000000,(AA136-10000000)*15%+750000,IF(AA136&gt;5000000,(AA136-5000000)*10%+250000,AA136*5%)))))),0),0)</f>
        <v>0</v>
      </c>
      <c r="AC136" s="5"/>
      <c r="AD136" s="12">
        <f>ROUND(SUM(L136:S136)-SUM(W136:Z136)-AB136+AC136,0)</f>
        <v>628000</v>
      </c>
      <c r="AE136" s="13"/>
      <c r="AF136" s="12">
        <f>SUM(L136:S136)</f>
        <v>1180000</v>
      </c>
      <c r="AG136" s="12">
        <f>SUM(L136+N136)*23.5%</f>
        <v>0</v>
      </c>
      <c r="AH136" s="12">
        <f>SUM(AF136:AG136)</f>
        <v>1180000</v>
      </c>
      <c r="AI136" s="12">
        <f>IF(L136+N136&lt;4800000,4800000,MIN(29800000,L136+N136))</f>
        <v>4800000</v>
      </c>
    </row>
    <row r="137" spans="1:35" ht="15">
      <c r="A137" s="4" t="s">
        <v>617</v>
      </c>
      <c r="B137" s="25" t="s">
        <v>618</v>
      </c>
      <c r="C137" s="25" t="s">
        <v>39</v>
      </c>
      <c r="D137" s="25" t="s">
        <v>619</v>
      </c>
      <c r="E137" s="25" t="s">
        <v>41</v>
      </c>
      <c r="F137" s="25"/>
      <c r="G137" s="25"/>
      <c r="H137" s="25" t="s">
        <v>599</v>
      </c>
      <c r="I137" s="21" t="s">
        <v>620</v>
      </c>
      <c r="J137" s="21" t="s">
        <v>354</v>
      </c>
      <c r="K137" s="5"/>
      <c r="L137" s="6"/>
      <c r="M137" s="5">
        <f>K137-L137</f>
        <v>0</v>
      </c>
      <c r="N137" s="7"/>
      <c r="O137" s="5">
        <v>730000</v>
      </c>
      <c r="P137" s="8"/>
      <c r="Q137" s="7">
        <v>50000</v>
      </c>
      <c r="R137" s="7">
        <v>400000</v>
      </c>
      <c r="S137" s="7"/>
      <c r="T137" s="9">
        <v>11000000</v>
      </c>
      <c r="U137" s="9"/>
      <c r="V137" s="9">
        <f>4400000*U137</f>
        <v>0</v>
      </c>
      <c r="W137" s="10">
        <f>AI137*8%</f>
        <v>384000</v>
      </c>
      <c r="X137" s="10">
        <f>AI137*1.5%</f>
        <v>72000</v>
      </c>
      <c r="Y137" s="10">
        <f>AI137*1%</f>
        <v>48000</v>
      </c>
      <c r="Z137" s="10">
        <f>AI137*1%</f>
        <v>48000</v>
      </c>
      <c r="AA137" s="11">
        <f>SUM(L137:N137)+S137-T137-SUM(V137:Y137)</f>
        <v>-11504000</v>
      </c>
      <c r="AB137" s="5">
        <f>ROUND(IF(AA137&gt;0,IF(AA137&gt;80000000,(AA137-80000000)*35%+18150000,IF(AA137&gt;52000000,(AA137-52000000)*30%+9750000,IF(AA137&gt;32000000,(AA137-32000000)*25%+4750000,IF(AA137&gt;18000000,(AA137-18000000)*20%+1950000,IF(AA137&gt;10000000,(AA137-10000000)*15%+750000,IF(AA137&gt;5000000,(AA137-5000000)*10%+250000,AA137*5%)))))),0),0)</f>
        <v>0</v>
      </c>
      <c r="AC137" s="5"/>
      <c r="AD137" s="12">
        <f>ROUND(SUM(L137:S137)-SUM(W137:Z137)-AB137+AC137,0)</f>
        <v>628000</v>
      </c>
      <c r="AE137" s="13"/>
      <c r="AF137" s="12">
        <f>SUM(L137:S137)</f>
        <v>1180000</v>
      </c>
      <c r="AG137" s="12">
        <f>SUM(L137+N137)*23.5%</f>
        <v>0</v>
      </c>
      <c r="AH137" s="12">
        <f>SUM(AF137:AG137)</f>
        <v>1180000</v>
      </c>
      <c r="AI137" s="12">
        <f>IF(L137+N137&lt;4800000,4800000,MIN(29800000,L137+N137))</f>
        <v>4800000</v>
      </c>
    </row>
    <row r="138" spans="1:35" ht="15">
      <c r="A138" s="4" t="s">
        <v>621</v>
      </c>
      <c r="B138" s="25" t="s">
        <v>622</v>
      </c>
      <c r="C138" s="25" t="s">
        <v>39</v>
      </c>
      <c r="D138" s="25" t="s">
        <v>623</v>
      </c>
      <c r="E138" s="25" t="s">
        <v>41</v>
      </c>
      <c r="F138" s="25"/>
      <c r="G138" s="25"/>
      <c r="H138" s="25" t="s">
        <v>599</v>
      </c>
      <c r="I138" s="21" t="s">
        <v>624</v>
      </c>
      <c r="J138" s="21" t="s">
        <v>354</v>
      </c>
      <c r="K138" s="5"/>
      <c r="L138" s="6"/>
      <c r="M138" s="5">
        <f>K138-L138</f>
        <v>0</v>
      </c>
      <c r="N138" s="7"/>
      <c r="O138" s="5">
        <v>730000</v>
      </c>
      <c r="P138" s="8"/>
      <c r="Q138" s="7">
        <v>50000</v>
      </c>
      <c r="R138" s="7">
        <v>400000</v>
      </c>
      <c r="S138" s="7"/>
      <c r="T138" s="9">
        <v>11000000</v>
      </c>
      <c r="U138" s="9"/>
      <c r="V138" s="9">
        <f>4400000*U138</f>
        <v>0</v>
      </c>
      <c r="W138" s="10">
        <f>AI138*8%</f>
        <v>384000</v>
      </c>
      <c r="X138" s="10">
        <f>AI138*1.5%</f>
        <v>72000</v>
      </c>
      <c r="Y138" s="10">
        <f>AI138*1%</f>
        <v>48000</v>
      </c>
      <c r="Z138" s="10">
        <f>AI138*1%</f>
        <v>48000</v>
      </c>
      <c r="AA138" s="11">
        <f>SUM(L138:N138)+S138-T138-SUM(V138:Y138)</f>
        <v>-11504000</v>
      </c>
      <c r="AB138" s="5">
        <f>ROUND(IF(AA138&gt;0,IF(AA138&gt;80000000,(AA138-80000000)*35%+18150000,IF(AA138&gt;52000000,(AA138-52000000)*30%+9750000,IF(AA138&gt;32000000,(AA138-32000000)*25%+4750000,IF(AA138&gt;18000000,(AA138-18000000)*20%+1950000,IF(AA138&gt;10000000,(AA138-10000000)*15%+750000,IF(AA138&gt;5000000,(AA138-5000000)*10%+250000,AA138*5%)))))),0),0)</f>
        <v>0</v>
      </c>
      <c r="AC138" s="5"/>
      <c r="AD138" s="12">
        <f>ROUND(SUM(L138:S138)-SUM(W138:Z138)-AB138+AC138,0)</f>
        <v>628000</v>
      </c>
      <c r="AE138" s="13"/>
      <c r="AF138" s="12">
        <f>SUM(L138:S138)</f>
        <v>1180000</v>
      </c>
      <c r="AG138" s="12">
        <f>SUM(L138+N138)*23.5%</f>
        <v>0</v>
      </c>
      <c r="AH138" s="12">
        <f>SUM(AF138:AG138)</f>
        <v>1180000</v>
      </c>
      <c r="AI138" s="12">
        <f>IF(L138+N138&lt;4800000,4800000,MIN(29800000,L138+N138))</f>
        <v>4800000</v>
      </c>
    </row>
    <row r="139" spans="1:35" ht="15">
      <c r="A139" s="4" t="s">
        <v>625</v>
      </c>
      <c r="B139" s="25" t="s">
        <v>626</v>
      </c>
      <c r="C139" s="25" t="s">
        <v>39</v>
      </c>
      <c r="D139" s="25" t="s">
        <v>627</v>
      </c>
      <c r="E139" s="25" t="s">
        <v>41</v>
      </c>
      <c r="F139" s="25"/>
      <c r="G139" s="25"/>
      <c r="H139" s="25" t="s">
        <v>599</v>
      </c>
      <c r="I139" s="21" t="s">
        <v>628</v>
      </c>
      <c r="J139" s="21" t="s">
        <v>60</v>
      </c>
      <c r="K139" s="5"/>
      <c r="L139" s="6"/>
      <c r="M139" s="5">
        <f>K139-L139</f>
        <v>0</v>
      </c>
      <c r="N139" s="7"/>
      <c r="O139" s="5">
        <v>730000</v>
      </c>
      <c r="P139" s="8"/>
      <c r="Q139" s="7">
        <v>50000</v>
      </c>
      <c r="R139" s="7">
        <v>400000</v>
      </c>
      <c r="S139" s="7"/>
      <c r="T139" s="9">
        <v>11000000</v>
      </c>
      <c r="U139" s="9"/>
      <c r="V139" s="9">
        <f>4400000*U139</f>
        <v>0</v>
      </c>
      <c r="W139" s="10">
        <f>AI139*8%</f>
        <v>384000</v>
      </c>
      <c r="X139" s="10">
        <f>AI139*1.5%</f>
        <v>72000</v>
      </c>
      <c r="Y139" s="10">
        <f>AI139*1%</f>
        <v>48000</v>
      </c>
      <c r="Z139" s="10">
        <f>AI139*1%</f>
        <v>48000</v>
      </c>
      <c r="AA139" s="11">
        <f>SUM(L139:N139)+S139-T139-SUM(V139:Y139)</f>
        <v>-11504000</v>
      </c>
      <c r="AB139" s="5">
        <f>ROUND(IF(AA139&gt;0,IF(AA139&gt;80000000,(AA139-80000000)*35%+18150000,IF(AA139&gt;52000000,(AA139-52000000)*30%+9750000,IF(AA139&gt;32000000,(AA139-32000000)*25%+4750000,IF(AA139&gt;18000000,(AA139-18000000)*20%+1950000,IF(AA139&gt;10000000,(AA139-10000000)*15%+750000,IF(AA139&gt;5000000,(AA139-5000000)*10%+250000,AA139*5%)))))),0),0)</f>
        <v>0</v>
      </c>
      <c r="AC139" s="5"/>
      <c r="AD139" s="12">
        <f>ROUND(SUM(L139:S139)-SUM(W139:Z139)-AB139+AC139,0)</f>
        <v>628000</v>
      </c>
      <c r="AE139" s="13"/>
      <c r="AF139" s="12">
        <f>SUM(L139:S139)</f>
        <v>1180000</v>
      </c>
      <c r="AG139" s="12">
        <f>SUM(L139+N139)*23.5%</f>
        <v>0</v>
      </c>
      <c r="AH139" s="12">
        <f>SUM(AF139:AG139)</f>
        <v>1180000</v>
      </c>
      <c r="AI139" s="12">
        <f>IF(L139+N139&lt;4800000,4800000,MIN(29800000,L139+N139))</f>
        <v>4800000</v>
      </c>
    </row>
    <row r="140" spans="1:35" ht="15">
      <c r="A140" s="4" t="s">
        <v>629</v>
      </c>
      <c r="B140" s="25" t="s">
        <v>630</v>
      </c>
      <c r="C140" s="25" t="s">
        <v>39</v>
      </c>
      <c r="D140" s="25" t="s">
        <v>631</v>
      </c>
      <c r="E140" s="25" t="s">
        <v>41</v>
      </c>
      <c r="F140" s="25"/>
      <c r="G140" s="25"/>
      <c r="H140" s="25" t="s">
        <v>599</v>
      </c>
      <c r="I140" s="21" t="s">
        <v>632</v>
      </c>
      <c r="J140" s="21" t="s">
        <v>354</v>
      </c>
      <c r="K140" s="5"/>
      <c r="L140" s="6"/>
      <c r="M140" s="5">
        <f>K140-L140</f>
        <v>0</v>
      </c>
      <c r="N140" s="7"/>
      <c r="O140" s="5">
        <v>730000</v>
      </c>
      <c r="P140" s="8"/>
      <c r="Q140" s="7">
        <v>50000</v>
      </c>
      <c r="R140" s="7">
        <v>400000</v>
      </c>
      <c r="S140" s="7"/>
      <c r="T140" s="9">
        <v>11000000</v>
      </c>
      <c r="U140" s="9"/>
      <c r="V140" s="9">
        <f>4400000*U140</f>
        <v>0</v>
      </c>
      <c r="W140" s="10">
        <f>AI140*8%</f>
        <v>384000</v>
      </c>
      <c r="X140" s="10">
        <f>AI140*1.5%</f>
        <v>72000</v>
      </c>
      <c r="Y140" s="10">
        <f>AI140*1%</f>
        <v>48000</v>
      </c>
      <c r="Z140" s="10">
        <f>AI140*1%</f>
        <v>48000</v>
      </c>
      <c r="AA140" s="11">
        <f>SUM(L140:N140)+S140-T140-SUM(V140:Y140)</f>
        <v>-11504000</v>
      </c>
      <c r="AB140" s="5">
        <f>ROUND(IF(AA140&gt;0,IF(AA140&gt;80000000,(AA140-80000000)*35%+18150000,IF(AA140&gt;52000000,(AA140-52000000)*30%+9750000,IF(AA140&gt;32000000,(AA140-32000000)*25%+4750000,IF(AA140&gt;18000000,(AA140-18000000)*20%+1950000,IF(AA140&gt;10000000,(AA140-10000000)*15%+750000,IF(AA140&gt;5000000,(AA140-5000000)*10%+250000,AA140*5%)))))),0),0)</f>
        <v>0</v>
      </c>
      <c r="AC140" s="5"/>
      <c r="AD140" s="12">
        <f>ROUND(SUM(L140:S140)-SUM(W140:Z140)-AB140+AC140,0)</f>
        <v>628000</v>
      </c>
      <c r="AE140" s="13"/>
      <c r="AF140" s="12">
        <f>SUM(L140:S140)</f>
        <v>1180000</v>
      </c>
      <c r="AG140" s="12">
        <f>SUM(L140+N140)*23.5%</f>
        <v>0</v>
      </c>
      <c r="AH140" s="12">
        <f>SUM(AF140:AG140)</f>
        <v>1180000</v>
      </c>
      <c r="AI140" s="12">
        <f>IF(L140+N140&lt;4800000,4800000,MIN(29800000,L140+N140))</f>
        <v>4800000</v>
      </c>
    </row>
    <row r="141" spans="1:35" ht="15">
      <c r="A141" s="4" t="s">
        <v>633</v>
      </c>
      <c r="B141" s="25" t="s">
        <v>634</v>
      </c>
      <c r="C141" s="25" t="s">
        <v>39</v>
      </c>
      <c r="D141" s="25" t="s">
        <v>635</v>
      </c>
      <c r="E141" s="25" t="s">
        <v>41</v>
      </c>
      <c r="F141" s="25"/>
      <c r="G141" s="25"/>
      <c r="H141" s="25" t="s">
        <v>599</v>
      </c>
      <c r="I141" s="21" t="s">
        <v>636</v>
      </c>
      <c r="J141" s="21" t="s">
        <v>354</v>
      </c>
      <c r="K141" s="5"/>
      <c r="L141" s="6"/>
      <c r="M141" s="5">
        <f>K141-L141</f>
        <v>0</v>
      </c>
      <c r="N141" s="7"/>
      <c r="O141" s="5">
        <v>730000</v>
      </c>
      <c r="P141" s="8"/>
      <c r="Q141" s="7">
        <v>50000</v>
      </c>
      <c r="R141" s="7">
        <v>400000</v>
      </c>
      <c r="S141" s="7"/>
      <c r="T141" s="9">
        <v>11000000</v>
      </c>
      <c r="U141" s="9"/>
      <c r="V141" s="9">
        <f>4400000*U141</f>
        <v>0</v>
      </c>
      <c r="W141" s="10">
        <f>AI141*8%</f>
        <v>384000</v>
      </c>
      <c r="X141" s="10">
        <f>AI141*1.5%</f>
        <v>72000</v>
      </c>
      <c r="Y141" s="10">
        <f>AI141*1%</f>
        <v>48000</v>
      </c>
      <c r="Z141" s="10">
        <f>AI141*1%</f>
        <v>48000</v>
      </c>
      <c r="AA141" s="11">
        <f>SUM(L141:N141)+S141-T141-SUM(V141:Y141)</f>
        <v>-11504000</v>
      </c>
      <c r="AB141" s="5">
        <f>ROUND(IF(AA141&gt;0,IF(AA141&gt;80000000,(AA141-80000000)*35%+18150000,IF(AA141&gt;52000000,(AA141-52000000)*30%+9750000,IF(AA141&gt;32000000,(AA141-32000000)*25%+4750000,IF(AA141&gt;18000000,(AA141-18000000)*20%+1950000,IF(AA141&gt;10000000,(AA141-10000000)*15%+750000,IF(AA141&gt;5000000,(AA141-5000000)*10%+250000,AA141*5%)))))),0),0)</f>
        <v>0</v>
      </c>
      <c r="AC141" s="5"/>
      <c r="AD141" s="12">
        <f>ROUND(SUM(L141:S141)-SUM(W141:Z141)-AB141+AC141,0)</f>
        <v>628000</v>
      </c>
      <c r="AE141" s="13"/>
      <c r="AF141" s="12">
        <f>SUM(L141:S141)</f>
        <v>1180000</v>
      </c>
      <c r="AG141" s="12">
        <f>SUM(L141+N141)*23.5%</f>
        <v>0</v>
      </c>
      <c r="AH141" s="12">
        <f>SUM(AF141:AG141)</f>
        <v>1180000</v>
      </c>
      <c r="AI141" s="12">
        <f>IF(L141+N141&lt;4800000,4800000,MIN(29800000,L141+N141))</f>
        <v>4800000</v>
      </c>
    </row>
    <row r="142" spans="1:35" ht="15">
      <c r="A142" s="4" t="s">
        <v>637</v>
      </c>
      <c r="B142" s="25" t="s">
        <v>638</v>
      </c>
      <c r="C142" s="25" t="s">
        <v>39</v>
      </c>
      <c r="D142" s="25" t="s">
        <v>639</v>
      </c>
      <c r="E142" s="25" t="s">
        <v>41</v>
      </c>
      <c r="F142" s="25"/>
      <c r="G142" s="25"/>
      <c r="H142" s="25" t="s">
        <v>599</v>
      </c>
      <c r="I142" s="21" t="s">
        <v>640</v>
      </c>
      <c r="J142" s="21" t="s">
        <v>354</v>
      </c>
      <c r="K142" s="5"/>
      <c r="L142" s="6"/>
      <c r="M142" s="5">
        <f>K142-L142</f>
        <v>0</v>
      </c>
      <c r="N142" s="7"/>
      <c r="O142" s="5">
        <v>730000</v>
      </c>
      <c r="P142" s="8"/>
      <c r="Q142" s="7">
        <v>50000</v>
      </c>
      <c r="R142" s="7">
        <v>400000</v>
      </c>
      <c r="S142" s="7"/>
      <c r="T142" s="9">
        <v>11000000</v>
      </c>
      <c r="U142" s="9"/>
      <c r="V142" s="9">
        <f>4400000*U142</f>
        <v>0</v>
      </c>
      <c r="W142" s="10">
        <f>AI142*8%</f>
        <v>384000</v>
      </c>
      <c r="X142" s="10">
        <f>AI142*1.5%</f>
        <v>72000</v>
      </c>
      <c r="Y142" s="10">
        <f>AI142*1%</f>
        <v>48000</v>
      </c>
      <c r="Z142" s="10">
        <f>AI142*1%</f>
        <v>48000</v>
      </c>
      <c r="AA142" s="11">
        <f>SUM(L142:N142)+S142-T142-SUM(V142:Y142)</f>
        <v>-11504000</v>
      </c>
      <c r="AB142" s="5">
        <f>ROUND(IF(AA142&gt;0,IF(AA142&gt;80000000,(AA142-80000000)*35%+18150000,IF(AA142&gt;52000000,(AA142-52000000)*30%+9750000,IF(AA142&gt;32000000,(AA142-32000000)*25%+4750000,IF(AA142&gt;18000000,(AA142-18000000)*20%+1950000,IF(AA142&gt;10000000,(AA142-10000000)*15%+750000,IF(AA142&gt;5000000,(AA142-5000000)*10%+250000,AA142*5%)))))),0),0)</f>
        <v>0</v>
      </c>
      <c r="AC142" s="5"/>
      <c r="AD142" s="12">
        <f>ROUND(SUM(L142:S142)-SUM(W142:Z142)-AB142+AC142,0)</f>
        <v>628000</v>
      </c>
      <c r="AE142" s="13"/>
      <c r="AF142" s="12">
        <f>SUM(L142:S142)</f>
        <v>1180000</v>
      </c>
      <c r="AG142" s="12">
        <f>SUM(L142+N142)*23.5%</f>
        <v>0</v>
      </c>
      <c r="AH142" s="12">
        <f>SUM(AF142:AG142)</f>
        <v>1180000</v>
      </c>
      <c r="AI142" s="12">
        <f>IF(L142+N142&lt;4800000,4800000,MIN(29800000,L142+N142))</f>
        <v>4800000</v>
      </c>
    </row>
    <row r="143" spans="1:35" ht="15">
      <c r="A143" s="4" t="s">
        <v>641</v>
      </c>
      <c r="B143" s="25" t="s">
        <v>642</v>
      </c>
      <c r="C143" s="25" t="s">
        <v>39</v>
      </c>
      <c r="D143" s="25" t="s">
        <v>643</v>
      </c>
      <c r="E143" s="25" t="s">
        <v>41</v>
      </c>
      <c r="F143" s="25"/>
      <c r="G143" s="25"/>
      <c r="H143" s="25" t="s">
        <v>599</v>
      </c>
      <c r="I143" s="21" t="s">
        <v>644</v>
      </c>
      <c r="J143" s="21" t="s">
        <v>97</v>
      </c>
      <c r="K143" s="5"/>
      <c r="L143" s="6"/>
      <c r="M143" s="5">
        <f>K143-L143</f>
        <v>0</v>
      </c>
      <c r="N143" s="7"/>
      <c r="O143" s="5">
        <v>730000</v>
      </c>
      <c r="P143" s="8"/>
      <c r="Q143" s="7">
        <v>50000</v>
      </c>
      <c r="R143" s="7">
        <v>400000</v>
      </c>
      <c r="S143" s="7"/>
      <c r="T143" s="9">
        <v>11000000</v>
      </c>
      <c r="U143" s="9"/>
      <c r="V143" s="9">
        <f>4400000*U143</f>
        <v>0</v>
      </c>
      <c r="W143" s="10">
        <f>AI143*8%</f>
        <v>384000</v>
      </c>
      <c r="X143" s="10">
        <f>AI143*1.5%</f>
        <v>72000</v>
      </c>
      <c r="Y143" s="10">
        <f>AI143*1%</f>
        <v>48000</v>
      </c>
      <c r="Z143" s="10">
        <f>AI143*1%</f>
        <v>48000</v>
      </c>
      <c r="AA143" s="11">
        <f>SUM(L143:N143)+S143-T143-SUM(V143:Y143)</f>
        <v>-11504000</v>
      </c>
      <c r="AB143" s="5">
        <f>ROUND(IF(AA143&gt;0,IF(AA143&gt;80000000,(AA143-80000000)*35%+18150000,IF(AA143&gt;52000000,(AA143-52000000)*30%+9750000,IF(AA143&gt;32000000,(AA143-32000000)*25%+4750000,IF(AA143&gt;18000000,(AA143-18000000)*20%+1950000,IF(AA143&gt;10000000,(AA143-10000000)*15%+750000,IF(AA143&gt;5000000,(AA143-5000000)*10%+250000,AA143*5%)))))),0),0)</f>
        <v>0</v>
      </c>
      <c r="AC143" s="5"/>
      <c r="AD143" s="12">
        <f>ROUND(SUM(L143:S143)-SUM(W143:Z143)-AB143+AC143,0)</f>
        <v>628000</v>
      </c>
      <c r="AE143" s="13"/>
      <c r="AF143" s="12">
        <f>SUM(L143:S143)</f>
        <v>1180000</v>
      </c>
      <c r="AG143" s="12">
        <f>SUM(L143+N143)*23.5%</f>
        <v>0</v>
      </c>
      <c r="AH143" s="12">
        <f>SUM(AF143:AG143)</f>
        <v>1180000</v>
      </c>
      <c r="AI143" s="12">
        <f>IF(L143+N143&lt;4800000,4800000,MIN(29800000,L143+N143))</f>
        <v>4800000</v>
      </c>
    </row>
    <row r="144" spans="1:35" ht="15">
      <c r="A144" s="4" t="s">
        <v>645</v>
      </c>
      <c r="B144" s="25" t="s">
        <v>646</v>
      </c>
      <c r="C144" s="25" t="s">
        <v>39</v>
      </c>
      <c r="D144" s="25" t="s">
        <v>647</v>
      </c>
      <c r="E144" s="25" t="s">
        <v>41</v>
      </c>
      <c r="F144" s="25"/>
      <c r="G144" s="25"/>
      <c r="H144" s="25" t="s">
        <v>599</v>
      </c>
      <c r="I144" s="21" t="s">
        <v>416</v>
      </c>
      <c r="J144" s="21" t="s">
        <v>354</v>
      </c>
      <c r="K144" s="5"/>
      <c r="L144" s="6"/>
      <c r="M144" s="5">
        <f>K144-L144</f>
        <v>0</v>
      </c>
      <c r="N144" s="7"/>
      <c r="O144" s="5">
        <v>730000</v>
      </c>
      <c r="P144" s="8"/>
      <c r="Q144" s="7">
        <v>50000</v>
      </c>
      <c r="R144" s="7">
        <v>400000</v>
      </c>
      <c r="S144" s="7"/>
      <c r="T144" s="9">
        <v>11000000</v>
      </c>
      <c r="U144" s="9"/>
      <c r="V144" s="9">
        <f>4400000*U144</f>
        <v>0</v>
      </c>
      <c r="W144" s="10">
        <f>AI144*8%</f>
        <v>384000</v>
      </c>
      <c r="X144" s="10">
        <f>AI144*1.5%</f>
        <v>72000</v>
      </c>
      <c r="Y144" s="10">
        <f>AI144*1%</f>
        <v>48000</v>
      </c>
      <c r="Z144" s="10">
        <f>AI144*1%</f>
        <v>48000</v>
      </c>
      <c r="AA144" s="11">
        <f>SUM(L144:N144)+S144-T144-SUM(V144:Y144)</f>
        <v>-11504000</v>
      </c>
      <c r="AB144" s="5">
        <f>ROUND(IF(AA144&gt;0,IF(AA144&gt;80000000,(AA144-80000000)*35%+18150000,IF(AA144&gt;52000000,(AA144-52000000)*30%+9750000,IF(AA144&gt;32000000,(AA144-32000000)*25%+4750000,IF(AA144&gt;18000000,(AA144-18000000)*20%+1950000,IF(AA144&gt;10000000,(AA144-10000000)*15%+750000,IF(AA144&gt;5000000,(AA144-5000000)*10%+250000,AA144*5%)))))),0),0)</f>
        <v>0</v>
      </c>
      <c r="AC144" s="5"/>
      <c r="AD144" s="12">
        <f>ROUND(SUM(L144:S144)-SUM(W144:Z144)-AB144+AC144,0)</f>
        <v>628000</v>
      </c>
      <c r="AE144" s="13"/>
      <c r="AF144" s="12">
        <f>SUM(L144:S144)</f>
        <v>1180000</v>
      </c>
      <c r="AG144" s="12">
        <f>SUM(L144+N144)*23.5%</f>
        <v>0</v>
      </c>
      <c r="AH144" s="12">
        <f>SUM(AF144:AG144)</f>
        <v>1180000</v>
      </c>
      <c r="AI144" s="12">
        <f>IF(L144+N144&lt;4800000,4800000,MIN(29800000,L144+N144))</f>
        <v>4800000</v>
      </c>
    </row>
    <row r="145" spans="1:35" ht="15">
      <c r="A145" s="4" t="s">
        <v>648</v>
      </c>
      <c r="B145" s="25" t="s">
        <v>649</v>
      </c>
      <c r="C145" s="25" t="s">
        <v>39</v>
      </c>
      <c r="D145" s="25" t="s">
        <v>650</v>
      </c>
      <c r="E145" s="25" t="s">
        <v>41</v>
      </c>
      <c r="F145" s="25"/>
      <c r="G145" s="25"/>
      <c r="H145" s="25" t="s">
        <v>599</v>
      </c>
      <c r="I145" s="21" t="s">
        <v>651</v>
      </c>
      <c r="J145" s="21" t="s">
        <v>354</v>
      </c>
      <c r="K145" s="5"/>
      <c r="L145" s="6"/>
      <c r="M145" s="5">
        <f>K145-L145</f>
        <v>0</v>
      </c>
      <c r="N145" s="7"/>
      <c r="O145" s="5">
        <v>730000</v>
      </c>
      <c r="P145" s="8"/>
      <c r="Q145" s="7">
        <v>50000</v>
      </c>
      <c r="R145" s="7">
        <v>400000</v>
      </c>
      <c r="S145" s="7"/>
      <c r="T145" s="9">
        <v>11000000</v>
      </c>
      <c r="U145" s="9"/>
      <c r="V145" s="9">
        <f>4400000*U145</f>
        <v>0</v>
      </c>
      <c r="W145" s="10">
        <f>AI145*8%</f>
        <v>384000</v>
      </c>
      <c r="X145" s="10">
        <f>AI145*1.5%</f>
        <v>72000</v>
      </c>
      <c r="Y145" s="10">
        <f>AI145*1%</f>
        <v>48000</v>
      </c>
      <c r="Z145" s="10">
        <f>AI145*1%</f>
        <v>48000</v>
      </c>
      <c r="AA145" s="11">
        <f>SUM(L145:N145)+S145-T145-SUM(V145:Y145)</f>
        <v>-11504000</v>
      </c>
      <c r="AB145" s="5">
        <f>ROUND(IF(AA145&gt;0,IF(AA145&gt;80000000,(AA145-80000000)*35%+18150000,IF(AA145&gt;52000000,(AA145-52000000)*30%+9750000,IF(AA145&gt;32000000,(AA145-32000000)*25%+4750000,IF(AA145&gt;18000000,(AA145-18000000)*20%+1950000,IF(AA145&gt;10000000,(AA145-10000000)*15%+750000,IF(AA145&gt;5000000,(AA145-5000000)*10%+250000,AA145*5%)))))),0),0)</f>
        <v>0</v>
      </c>
      <c r="AC145" s="5"/>
      <c r="AD145" s="12">
        <f>ROUND(SUM(L145:S145)-SUM(W145:Z145)-AB145+AC145,0)</f>
        <v>628000</v>
      </c>
      <c r="AE145" s="13"/>
      <c r="AF145" s="12">
        <f>SUM(L145:S145)</f>
        <v>1180000</v>
      </c>
      <c r="AG145" s="12">
        <f>SUM(L145+N145)*23.5%</f>
        <v>0</v>
      </c>
      <c r="AH145" s="12">
        <f>SUM(AF145:AG145)</f>
        <v>1180000</v>
      </c>
      <c r="AI145" s="12">
        <f>IF(L145+N145&lt;4800000,4800000,MIN(29800000,L145+N145))</f>
        <v>4800000</v>
      </c>
    </row>
    <row r="146" spans="1:35" ht="15">
      <c r="A146" s="4" t="s">
        <v>652</v>
      </c>
      <c r="B146" s="25" t="s">
        <v>653</v>
      </c>
      <c r="C146" s="25" t="s">
        <v>39</v>
      </c>
      <c r="D146" s="25" t="s">
        <v>654</v>
      </c>
      <c r="E146" s="25" t="s">
        <v>41</v>
      </c>
      <c r="F146" s="25"/>
      <c r="G146" s="25"/>
      <c r="H146" s="25" t="s">
        <v>599</v>
      </c>
      <c r="I146" s="21" t="s">
        <v>655</v>
      </c>
      <c r="J146" s="21" t="s">
        <v>60</v>
      </c>
      <c r="K146" s="5"/>
      <c r="L146" s="6"/>
      <c r="M146" s="5">
        <f>K146-L146</f>
        <v>0</v>
      </c>
      <c r="N146" s="7"/>
      <c r="O146" s="5">
        <v>730000</v>
      </c>
      <c r="P146" s="8"/>
      <c r="Q146" s="7">
        <v>50000</v>
      </c>
      <c r="R146" s="7">
        <v>400000</v>
      </c>
      <c r="S146" s="7"/>
      <c r="T146" s="9">
        <v>11000000</v>
      </c>
      <c r="U146" s="9"/>
      <c r="V146" s="9">
        <f>4400000*U146</f>
        <v>0</v>
      </c>
      <c r="W146" s="10">
        <f>AI146*8%</f>
        <v>384000</v>
      </c>
      <c r="X146" s="10">
        <f>AI146*1.5%</f>
        <v>72000</v>
      </c>
      <c r="Y146" s="10">
        <f>AI146*1%</f>
        <v>48000</v>
      </c>
      <c r="Z146" s="10">
        <f>AI146*1%</f>
        <v>48000</v>
      </c>
      <c r="AA146" s="11">
        <f>SUM(L146:N146)+S146-T146-SUM(V146:Y146)</f>
        <v>-11504000</v>
      </c>
      <c r="AB146" s="5">
        <f>ROUND(IF(AA146&gt;0,IF(AA146&gt;80000000,(AA146-80000000)*35%+18150000,IF(AA146&gt;52000000,(AA146-52000000)*30%+9750000,IF(AA146&gt;32000000,(AA146-32000000)*25%+4750000,IF(AA146&gt;18000000,(AA146-18000000)*20%+1950000,IF(AA146&gt;10000000,(AA146-10000000)*15%+750000,IF(AA146&gt;5000000,(AA146-5000000)*10%+250000,AA146*5%)))))),0),0)</f>
        <v>0</v>
      </c>
      <c r="AC146" s="5"/>
      <c r="AD146" s="12">
        <f>ROUND(SUM(L146:S146)-SUM(W146:Z146)-AB146+AC146,0)</f>
        <v>628000</v>
      </c>
      <c r="AE146" s="13"/>
      <c r="AF146" s="12">
        <f>SUM(L146:S146)</f>
        <v>1180000</v>
      </c>
      <c r="AG146" s="12">
        <f>SUM(L146+N146)*23.5%</f>
        <v>0</v>
      </c>
      <c r="AH146" s="12">
        <f>SUM(AF146:AG146)</f>
        <v>1180000</v>
      </c>
      <c r="AI146" s="12">
        <f>IF(L146+N146&lt;4800000,4800000,MIN(29800000,L146+N146))</f>
        <v>4800000</v>
      </c>
    </row>
    <row r="147" spans="1:35" ht="15">
      <c r="A147" s="4" t="s">
        <v>656</v>
      </c>
      <c r="B147" s="25" t="s">
        <v>657</v>
      </c>
      <c r="C147" s="25" t="s">
        <v>39</v>
      </c>
      <c r="D147" s="25" t="s">
        <v>658</v>
      </c>
      <c r="E147" s="25" t="s">
        <v>41</v>
      </c>
      <c r="F147" s="25"/>
      <c r="G147" s="25"/>
      <c r="H147" s="25" t="s">
        <v>599</v>
      </c>
      <c r="I147" s="21" t="s">
        <v>659</v>
      </c>
      <c r="J147" s="21" t="s">
        <v>97</v>
      </c>
      <c r="K147" s="5"/>
      <c r="L147" s="6"/>
      <c r="M147" s="5">
        <f>K147-L147</f>
        <v>0</v>
      </c>
      <c r="N147" s="7"/>
      <c r="O147" s="5">
        <v>730000</v>
      </c>
      <c r="P147" s="8"/>
      <c r="Q147" s="7">
        <v>50000</v>
      </c>
      <c r="R147" s="7">
        <v>400000</v>
      </c>
      <c r="S147" s="7"/>
      <c r="T147" s="9">
        <v>11000000</v>
      </c>
      <c r="U147" s="9"/>
      <c r="V147" s="9">
        <f>4400000*U147</f>
        <v>0</v>
      </c>
      <c r="W147" s="10">
        <f>AI147*8%</f>
        <v>384000</v>
      </c>
      <c r="X147" s="10">
        <f>AI147*1.5%</f>
        <v>72000</v>
      </c>
      <c r="Y147" s="10">
        <f>AI147*1%</f>
        <v>48000</v>
      </c>
      <c r="Z147" s="10">
        <f>AI147*1%</f>
        <v>48000</v>
      </c>
      <c r="AA147" s="11">
        <f>SUM(L147:N147)+S147-T147-SUM(V147:Y147)</f>
        <v>-11504000</v>
      </c>
      <c r="AB147" s="5">
        <f>ROUND(IF(AA147&gt;0,IF(AA147&gt;80000000,(AA147-80000000)*35%+18150000,IF(AA147&gt;52000000,(AA147-52000000)*30%+9750000,IF(AA147&gt;32000000,(AA147-32000000)*25%+4750000,IF(AA147&gt;18000000,(AA147-18000000)*20%+1950000,IF(AA147&gt;10000000,(AA147-10000000)*15%+750000,IF(AA147&gt;5000000,(AA147-5000000)*10%+250000,AA147*5%)))))),0),0)</f>
        <v>0</v>
      </c>
      <c r="AC147" s="5"/>
      <c r="AD147" s="12">
        <f>ROUND(SUM(L147:S147)-SUM(W147:Z147)-AB147+AC147,0)</f>
        <v>628000</v>
      </c>
      <c r="AE147" s="13"/>
      <c r="AF147" s="12">
        <f>SUM(L147:S147)</f>
        <v>1180000</v>
      </c>
      <c r="AG147" s="12">
        <f>SUM(L147+N147)*23.5%</f>
        <v>0</v>
      </c>
      <c r="AH147" s="12">
        <f>SUM(AF147:AG147)</f>
        <v>1180000</v>
      </c>
      <c r="AI147" s="12">
        <f>IF(L147+N147&lt;4800000,4800000,MIN(29800000,L147+N147))</f>
        <v>4800000</v>
      </c>
    </row>
    <row r="148" spans="1:35" ht="15">
      <c r="A148" s="4" t="s">
        <v>660</v>
      </c>
      <c r="B148" s="25" t="s">
        <v>661</v>
      </c>
      <c r="C148" s="25" t="s">
        <v>39</v>
      </c>
      <c r="D148" s="25" t="s">
        <v>662</v>
      </c>
      <c r="E148" s="25" t="s">
        <v>41</v>
      </c>
      <c r="F148" s="25"/>
      <c r="G148" s="25"/>
      <c r="H148" s="25" t="s">
        <v>663</v>
      </c>
      <c r="I148" s="21" t="s">
        <v>664</v>
      </c>
      <c r="J148" s="21" t="s">
        <v>60</v>
      </c>
      <c r="K148" s="5"/>
      <c r="L148" s="6"/>
      <c r="M148" s="5">
        <f>K148-L148</f>
        <v>0</v>
      </c>
      <c r="N148" s="7"/>
      <c r="O148" s="5">
        <v>730000</v>
      </c>
      <c r="P148" s="8"/>
      <c r="Q148" s="7">
        <v>50000</v>
      </c>
      <c r="R148" s="7">
        <v>400000</v>
      </c>
      <c r="S148" s="7"/>
      <c r="T148" s="9">
        <v>11000000</v>
      </c>
      <c r="U148" s="9"/>
      <c r="V148" s="9">
        <f>4400000*U148</f>
        <v>0</v>
      </c>
      <c r="W148" s="10">
        <f>AI148*8%</f>
        <v>384000</v>
      </c>
      <c r="X148" s="10">
        <f>AI148*1.5%</f>
        <v>72000</v>
      </c>
      <c r="Y148" s="10">
        <f>AI148*1%</f>
        <v>48000</v>
      </c>
      <c r="Z148" s="10">
        <f>AI148*1%</f>
        <v>48000</v>
      </c>
      <c r="AA148" s="11">
        <f>SUM(L148:N148)+S148-T148-SUM(V148:Y148)</f>
        <v>-11504000</v>
      </c>
      <c r="AB148" s="5">
        <f>ROUND(IF(AA148&gt;0,IF(AA148&gt;80000000,(AA148-80000000)*35%+18150000,IF(AA148&gt;52000000,(AA148-52000000)*30%+9750000,IF(AA148&gt;32000000,(AA148-32000000)*25%+4750000,IF(AA148&gt;18000000,(AA148-18000000)*20%+1950000,IF(AA148&gt;10000000,(AA148-10000000)*15%+750000,IF(AA148&gt;5000000,(AA148-5000000)*10%+250000,AA148*5%)))))),0),0)</f>
        <v>0</v>
      </c>
      <c r="AC148" s="5"/>
      <c r="AD148" s="12">
        <f>ROUND(SUM(L148:S148)-SUM(W148:Z148)-AB148+AC148,0)</f>
        <v>628000</v>
      </c>
      <c r="AE148" s="13"/>
      <c r="AF148" s="12">
        <f>SUM(L148:S148)</f>
        <v>1180000</v>
      </c>
      <c r="AG148" s="12">
        <f>SUM(L148+N148)*23.5%</f>
        <v>0</v>
      </c>
      <c r="AH148" s="12">
        <f>SUM(AF148:AG148)</f>
        <v>1180000</v>
      </c>
      <c r="AI148" s="12">
        <f>IF(L148+N148&lt;4800000,4800000,MIN(29800000,L148+N148))</f>
        <v>4800000</v>
      </c>
    </row>
    <row r="149" spans="1:35" ht="15">
      <c r="A149" s="4" t="s">
        <v>665</v>
      </c>
      <c r="B149" s="25" t="s">
        <v>666</v>
      </c>
      <c r="C149" s="25" t="s">
        <v>39</v>
      </c>
      <c r="D149" s="25" t="s">
        <v>667</v>
      </c>
      <c r="E149" s="25" t="s">
        <v>41</v>
      </c>
      <c r="F149" s="25"/>
      <c r="G149" s="25"/>
      <c r="H149" s="25" t="s">
        <v>663</v>
      </c>
      <c r="I149" s="21" t="s">
        <v>668</v>
      </c>
      <c r="J149" s="21" t="s">
        <v>97</v>
      </c>
      <c r="K149" s="5"/>
      <c r="L149" s="6"/>
      <c r="M149" s="5">
        <f>K149-L149</f>
        <v>0</v>
      </c>
      <c r="N149" s="7"/>
      <c r="O149" s="5">
        <v>730000</v>
      </c>
      <c r="P149" s="8"/>
      <c r="Q149" s="7">
        <v>50000</v>
      </c>
      <c r="R149" s="7">
        <v>400000</v>
      </c>
      <c r="S149" s="7"/>
      <c r="T149" s="9">
        <v>11000000</v>
      </c>
      <c r="U149" s="9"/>
      <c r="V149" s="9">
        <f>4400000*U149</f>
        <v>0</v>
      </c>
      <c r="W149" s="10">
        <f>AI149*8%</f>
        <v>384000</v>
      </c>
      <c r="X149" s="10">
        <f>AI149*1.5%</f>
        <v>72000</v>
      </c>
      <c r="Y149" s="10">
        <f>AI149*1%</f>
        <v>48000</v>
      </c>
      <c r="Z149" s="10">
        <f>AI149*1%</f>
        <v>48000</v>
      </c>
      <c r="AA149" s="11">
        <f>SUM(L149:N149)+S149-T149-SUM(V149:Y149)</f>
        <v>-11504000</v>
      </c>
      <c r="AB149" s="5">
        <f>ROUND(IF(AA149&gt;0,IF(AA149&gt;80000000,(AA149-80000000)*35%+18150000,IF(AA149&gt;52000000,(AA149-52000000)*30%+9750000,IF(AA149&gt;32000000,(AA149-32000000)*25%+4750000,IF(AA149&gt;18000000,(AA149-18000000)*20%+1950000,IF(AA149&gt;10000000,(AA149-10000000)*15%+750000,IF(AA149&gt;5000000,(AA149-5000000)*10%+250000,AA149*5%)))))),0),0)</f>
        <v>0</v>
      </c>
      <c r="AC149" s="5"/>
      <c r="AD149" s="12">
        <f>ROUND(SUM(L149:S149)-SUM(W149:Z149)-AB149+AC149,0)</f>
        <v>628000</v>
      </c>
      <c r="AE149" s="13"/>
      <c r="AF149" s="12">
        <f>SUM(L149:S149)</f>
        <v>1180000</v>
      </c>
      <c r="AG149" s="12">
        <f>SUM(L149+N149)*23.5%</f>
        <v>0</v>
      </c>
      <c r="AH149" s="12">
        <f>SUM(AF149:AG149)</f>
        <v>1180000</v>
      </c>
      <c r="AI149" s="12">
        <f>IF(L149+N149&lt;4800000,4800000,MIN(29800000,L149+N149))</f>
        <v>4800000</v>
      </c>
    </row>
    <row r="150" spans="1:35" ht="15">
      <c r="A150" s="4" t="s">
        <v>669</v>
      </c>
      <c r="B150" s="25" t="s">
        <v>670</v>
      </c>
      <c r="C150" s="25" t="s">
        <v>39</v>
      </c>
      <c r="D150" s="25" t="s">
        <v>671</v>
      </c>
      <c r="E150" s="25" t="s">
        <v>41</v>
      </c>
      <c r="F150" s="25"/>
      <c r="G150" s="25"/>
      <c r="H150" s="25" t="s">
        <v>663</v>
      </c>
      <c r="I150" s="21" t="s">
        <v>672</v>
      </c>
      <c r="J150" s="21" t="s">
        <v>673</v>
      </c>
      <c r="K150" s="5"/>
      <c r="L150" s="6"/>
      <c r="M150" s="5">
        <f>K150-L150</f>
        <v>0</v>
      </c>
      <c r="N150" s="7"/>
      <c r="O150" s="5">
        <v>730000</v>
      </c>
      <c r="P150" s="8"/>
      <c r="Q150" s="7">
        <v>50000</v>
      </c>
      <c r="R150" s="7">
        <v>400000</v>
      </c>
      <c r="S150" s="7"/>
      <c r="T150" s="9">
        <v>11000000</v>
      </c>
      <c r="U150" s="9"/>
      <c r="V150" s="9">
        <f>4400000*U150</f>
        <v>0</v>
      </c>
      <c r="W150" s="10">
        <f>AI150*8%</f>
        <v>384000</v>
      </c>
      <c r="X150" s="10">
        <f>AI150*1.5%</f>
        <v>72000</v>
      </c>
      <c r="Y150" s="10">
        <f>AI150*1%</f>
        <v>48000</v>
      </c>
      <c r="Z150" s="10">
        <f>AI150*1%</f>
        <v>48000</v>
      </c>
      <c r="AA150" s="11">
        <f>SUM(L150:N150)+S150-T150-SUM(V150:Y150)</f>
        <v>-11504000</v>
      </c>
      <c r="AB150" s="5">
        <f>ROUND(IF(AA150&gt;0,IF(AA150&gt;80000000,(AA150-80000000)*35%+18150000,IF(AA150&gt;52000000,(AA150-52000000)*30%+9750000,IF(AA150&gt;32000000,(AA150-32000000)*25%+4750000,IF(AA150&gt;18000000,(AA150-18000000)*20%+1950000,IF(AA150&gt;10000000,(AA150-10000000)*15%+750000,IF(AA150&gt;5000000,(AA150-5000000)*10%+250000,AA150*5%)))))),0),0)</f>
        <v>0</v>
      </c>
      <c r="AC150" s="5"/>
      <c r="AD150" s="12">
        <f>ROUND(SUM(L150:S150)-SUM(W150:Z150)-AB150+AC150,0)</f>
        <v>628000</v>
      </c>
      <c r="AE150" s="13"/>
      <c r="AF150" s="12">
        <f>SUM(L150:S150)</f>
        <v>1180000</v>
      </c>
      <c r="AG150" s="12">
        <f>SUM(L150+N150)*23.5%</f>
        <v>0</v>
      </c>
      <c r="AH150" s="12">
        <f>SUM(AF150:AG150)</f>
        <v>1180000</v>
      </c>
      <c r="AI150" s="12">
        <f>IF(L150+N150&lt;4800000,4800000,MIN(29800000,L150+N150))</f>
        <v>4800000</v>
      </c>
    </row>
    <row r="151" spans="1:35" ht="15">
      <c r="A151" s="4" t="s">
        <v>674</v>
      </c>
      <c r="B151" s="25" t="s">
        <v>675</v>
      </c>
      <c r="C151" s="25" t="s">
        <v>39</v>
      </c>
      <c r="D151" s="25" t="s">
        <v>676</v>
      </c>
      <c r="E151" s="25" t="s">
        <v>41</v>
      </c>
      <c r="F151" s="25"/>
      <c r="G151" s="25"/>
      <c r="H151" s="25" t="s">
        <v>663</v>
      </c>
      <c r="I151" s="21" t="s">
        <v>677</v>
      </c>
      <c r="J151" s="21" t="s">
        <v>678</v>
      </c>
      <c r="K151" s="5"/>
      <c r="L151" s="6"/>
      <c r="M151" s="5">
        <f>K151-L151</f>
        <v>0</v>
      </c>
      <c r="N151" s="7"/>
      <c r="O151" s="5">
        <v>730000</v>
      </c>
      <c r="P151" s="8"/>
      <c r="Q151" s="7">
        <v>50000</v>
      </c>
      <c r="R151" s="7">
        <v>400000</v>
      </c>
      <c r="S151" s="7"/>
      <c r="T151" s="9">
        <v>11000000</v>
      </c>
      <c r="U151" s="9"/>
      <c r="V151" s="9">
        <f>4400000*U151</f>
        <v>0</v>
      </c>
      <c r="W151" s="10">
        <f>AI151*8%</f>
        <v>384000</v>
      </c>
      <c r="X151" s="10">
        <f>AI151*1.5%</f>
        <v>72000</v>
      </c>
      <c r="Y151" s="10">
        <f>AI151*1%</f>
        <v>48000</v>
      </c>
      <c r="Z151" s="10">
        <f>AI151*1%</f>
        <v>48000</v>
      </c>
      <c r="AA151" s="11">
        <f>SUM(L151:N151)+S151-T151-SUM(V151:Y151)</f>
        <v>-11504000</v>
      </c>
      <c r="AB151" s="5">
        <f>ROUND(IF(AA151&gt;0,IF(AA151&gt;80000000,(AA151-80000000)*35%+18150000,IF(AA151&gt;52000000,(AA151-52000000)*30%+9750000,IF(AA151&gt;32000000,(AA151-32000000)*25%+4750000,IF(AA151&gt;18000000,(AA151-18000000)*20%+1950000,IF(AA151&gt;10000000,(AA151-10000000)*15%+750000,IF(AA151&gt;5000000,(AA151-5000000)*10%+250000,AA151*5%)))))),0),0)</f>
        <v>0</v>
      </c>
      <c r="AC151" s="5"/>
      <c r="AD151" s="12">
        <f>ROUND(SUM(L151:S151)-SUM(W151:Z151)-AB151+AC151,0)</f>
        <v>628000</v>
      </c>
      <c r="AE151" s="13"/>
      <c r="AF151" s="12">
        <f>SUM(L151:S151)</f>
        <v>1180000</v>
      </c>
      <c r="AG151" s="12">
        <f>SUM(L151+N151)*23.5%</f>
        <v>0</v>
      </c>
      <c r="AH151" s="12">
        <f>SUM(AF151:AG151)</f>
        <v>1180000</v>
      </c>
      <c r="AI151" s="12">
        <f>IF(L151+N151&lt;4800000,4800000,MIN(29800000,L151+N151))</f>
        <v>4800000</v>
      </c>
    </row>
    <row r="152" spans="1:35" ht="15">
      <c r="A152" s="4" t="s">
        <v>679</v>
      </c>
      <c r="B152" s="25" t="s">
        <v>680</v>
      </c>
      <c r="C152" s="25" t="s">
        <v>39</v>
      </c>
      <c r="D152" s="25" t="s">
        <v>681</v>
      </c>
      <c r="E152" s="25" t="s">
        <v>41</v>
      </c>
      <c r="F152" s="25"/>
      <c r="G152" s="25"/>
      <c r="H152" s="25" t="s">
        <v>663</v>
      </c>
      <c r="I152" s="21" t="s">
        <v>682</v>
      </c>
      <c r="J152" s="21" t="s">
        <v>60</v>
      </c>
      <c r="K152" s="5"/>
      <c r="L152" s="6"/>
      <c r="M152" s="5">
        <f>K152-L152</f>
        <v>0</v>
      </c>
      <c r="N152" s="7"/>
      <c r="O152" s="5">
        <v>730000</v>
      </c>
      <c r="P152" s="8"/>
      <c r="Q152" s="7">
        <v>50000</v>
      </c>
      <c r="R152" s="7">
        <v>400000</v>
      </c>
      <c r="S152" s="7"/>
      <c r="T152" s="9">
        <v>11000000</v>
      </c>
      <c r="U152" s="9"/>
      <c r="V152" s="9">
        <f>4400000*U152</f>
        <v>0</v>
      </c>
      <c r="W152" s="10">
        <f>AI152*8%</f>
        <v>384000</v>
      </c>
      <c r="X152" s="10">
        <f>AI152*1.5%</f>
        <v>72000</v>
      </c>
      <c r="Y152" s="10">
        <f>AI152*1%</f>
        <v>48000</v>
      </c>
      <c r="Z152" s="10">
        <f>AI152*1%</f>
        <v>48000</v>
      </c>
      <c r="AA152" s="11">
        <f>SUM(L152:N152)+S152-T152-SUM(V152:Y152)</f>
        <v>-11504000</v>
      </c>
      <c r="AB152" s="5">
        <f>ROUND(IF(AA152&gt;0,IF(AA152&gt;80000000,(AA152-80000000)*35%+18150000,IF(AA152&gt;52000000,(AA152-52000000)*30%+9750000,IF(AA152&gt;32000000,(AA152-32000000)*25%+4750000,IF(AA152&gt;18000000,(AA152-18000000)*20%+1950000,IF(AA152&gt;10000000,(AA152-10000000)*15%+750000,IF(AA152&gt;5000000,(AA152-5000000)*10%+250000,AA152*5%)))))),0),0)</f>
        <v>0</v>
      </c>
      <c r="AC152" s="5"/>
      <c r="AD152" s="12">
        <f>ROUND(SUM(L152:S152)-SUM(W152:Z152)-AB152+AC152,0)</f>
        <v>628000</v>
      </c>
      <c r="AE152" s="13"/>
      <c r="AF152" s="12">
        <f>SUM(L152:S152)</f>
        <v>1180000</v>
      </c>
      <c r="AG152" s="12">
        <f>SUM(L152+N152)*23.5%</f>
        <v>0</v>
      </c>
      <c r="AH152" s="12">
        <f>SUM(AF152:AG152)</f>
        <v>1180000</v>
      </c>
      <c r="AI152" s="12">
        <f>IF(L152+N152&lt;4800000,4800000,MIN(29800000,L152+N152))</f>
        <v>4800000</v>
      </c>
    </row>
    <row r="153" spans="1:35" ht="15">
      <c r="A153" s="4" t="s">
        <v>683</v>
      </c>
      <c r="B153" s="25" t="s">
        <v>684</v>
      </c>
      <c r="C153" s="25" t="s">
        <v>39</v>
      </c>
      <c r="D153" s="25" t="s">
        <v>685</v>
      </c>
      <c r="E153" s="25" t="s">
        <v>41</v>
      </c>
      <c r="F153" s="25"/>
      <c r="G153" s="25"/>
      <c r="H153" s="25" t="s">
        <v>663</v>
      </c>
      <c r="I153" s="21" t="s">
        <v>686</v>
      </c>
      <c r="J153" s="21" t="s">
        <v>97</v>
      </c>
      <c r="K153" s="5"/>
      <c r="L153" s="6"/>
      <c r="M153" s="5">
        <f>K153-L153</f>
        <v>0</v>
      </c>
      <c r="N153" s="7"/>
      <c r="O153" s="5">
        <v>730000</v>
      </c>
      <c r="P153" s="8"/>
      <c r="Q153" s="7">
        <v>50000</v>
      </c>
      <c r="R153" s="7">
        <v>400000</v>
      </c>
      <c r="S153" s="7"/>
      <c r="T153" s="9">
        <v>11000000</v>
      </c>
      <c r="U153" s="9"/>
      <c r="V153" s="9">
        <f>4400000*U153</f>
        <v>0</v>
      </c>
      <c r="W153" s="10">
        <f>AI153*8%</f>
        <v>384000</v>
      </c>
      <c r="X153" s="10">
        <f>AI153*1.5%</f>
        <v>72000</v>
      </c>
      <c r="Y153" s="10">
        <f>AI153*1%</f>
        <v>48000</v>
      </c>
      <c r="Z153" s="10">
        <f>AI153*1%</f>
        <v>48000</v>
      </c>
      <c r="AA153" s="11">
        <f>SUM(L153:N153)+S153-T153-SUM(V153:Y153)</f>
        <v>-11504000</v>
      </c>
      <c r="AB153" s="5">
        <f>ROUND(IF(AA153&gt;0,IF(AA153&gt;80000000,(AA153-80000000)*35%+18150000,IF(AA153&gt;52000000,(AA153-52000000)*30%+9750000,IF(AA153&gt;32000000,(AA153-32000000)*25%+4750000,IF(AA153&gt;18000000,(AA153-18000000)*20%+1950000,IF(AA153&gt;10000000,(AA153-10000000)*15%+750000,IF(AA153&gt;5000000,(AA153-5000000)*10%+250000,AA153*5%)))))),0),0)</f>
        <v>0</v>
      </c>
      <c r="AC153" s="5"/>
      <c r="AD153" s="12">
        <f>ROUND(SUM(L153:S153)-SUM(W153:Z153)-AB153+AC153,0)</f>
        <v>628000</v>
      </c>
      <c r="AE153" s="13"/>
      <c r="AF153" s="12">
        <f>SUM(L153:S153)</f>
        <v>1180000</v>
      </c>
      <c r="AG153" s="12">
        <f>SUM(L153+N153)*23.5%</f>
        <v>0</v>
      </c>
      <c r="AH153" s="12">
        <f>SUM(AF153:AG153)</f>
        <v>1180000</v>
      </c>
      <c r="AI153" s="12">
        <f>IF(L153+N153&lt;4800000,4800000,MIN(29800000,L153+N153))</f>
        <v>4800000</v>
      </c>
    </row>
    <row r="154" spans="1:35" ht="15">
      <c r="A154" s="4" t="s">
        <v>687</v>
      </c>
      <c r="B154" s="25" t="s">
        <v>688</v>
      </c>
      <c r="C154" s="25" t="s">
        <v>39</v>
      </c>
      <c r="D154" s="25" t="s">
        <v>689</v>
      </c>
      <c r="E154" s="25" t="s">
        <v>41</v>
      </c>
      <c r="F154" s="25"/>
      <c r="G154" s="25"/>
      <c r="H154" s="25" t="s">
        <v>663</v>
      </c>
      <c r="I154" s="21" t="s">
        <v>690</v>
      </c>
      <c r="J154" s="21" t="s">
        <v>60</v>
      </c>
      <c r="K154" s="5"/>
      <c r="L154" s="6"/>
      <c r="M154" s="5">
        <f>K154-L154</f>
        <v>0</v>
      </c>
      <c r="N154" s="7"/>
      <c r="O154" s="5">
        <v>730000</v>
      </c>
      <c r="P154" s="8"/>
      <c r="Q154" s="7">
        <v>50000</v>
      </c>
      <c r="R154" s="7">
        <v>400000</v>
      </c>
      <c r="S154" s="7"/>
      <c r="T154" s="9">
        <v>11000000</v>
      </c>
      <c r="U154" s="9"/>
      <c r="V154" s="9">
        <f>4400000*U154</f>
        <v>0</v>
      </c>
      <c r="W154" s="10">
        <f>AI154*8%</f>
        <v>384000</v>
      </c>
      <c r="X154" s="10">
        <f>AI154*1.5%</f>
        <v>72000</v>
      </c>
      <c r="Y154" s="10">
        <f>AI154*1%</f>
        <v>48000</v>
      </c>
      <c r="Z154" s="10">
        <f>AI154*1%</f>
        <v>48000</v>
      </c>
      <c r="AA154" s="11">
        <f>SUM(L154:N154)+S154-T154-SUM(V154:Y154)</f>
        <v>-11504000</v>
      </c>
      <c r="AB154" s="5">
        <f>ROUND(IF(AA154&gt;0,IF(AA154&gt;80000000,(AA154-80000000)*35%+18150000,IF(AA154&gt;52000000,(AA154-52000000)*30%+9750000,IF(AA154&gt;32000000,(AA154-32000000)*25%+4750000,IF(AA154&gt;18000000,(AA154-18000000)*20%+1950000,IF(AA154&gt;10000000,(AA154-10000000)*15%+750000,IF(AA154&gt;5000000,(AA154-5000000)*10%+250000,AA154*5%)))))),0),0)</f>
        <v>0</v>
      </c>
      <c r="AC154" s="5"/>
      <c r="AD154" s="12">
        <f>ROUND(SUM(L154:S154)-SUM(W154:Z154)-AB154+AC154,0)</f>
        <v>628000</v>
      </c>
      <c r="AE154" s="13"/>
      <c r="AF154" s="12">
        <f>SUM(L154:S154)</f>
        <v>1180000</v>
      </c>
      <c r="AG154" s="12">
        <f>SUM(L154+N154)*23.5%</f>
        <v>0</v>
      </c>
      <c r="AH154" s="12">
        <f>SUM(AF154:AG154)</f>
        <v>1180000</v>
      </c>
      <c r="AI154" s="12">
        <f>IF(L154+N154&lt;4800000,4800000,MIN(29800000,L154+N154))</f>
        <v>4800000</v>
      </c>
    </row>
    <row r="155" spans="1:35" ht="15">
      <c r="A155" s="4" t="s">
        <v>500</v>
      </c>
      <c r="B155" s="25" t="s">
        <v>691</v>
      </c>
      <c r="C155" s="25" t="s">
        <v>39</v>
      </c>
      <c r="D155" s="25" t="s">
        <v>692</v>
      </c>
      <c r="E155" s="25" t="s">
        <v>41</v>
      </c>
      <c r="F155" s="25"/>
      <c r="G155" s="25"/>
      <c r="H155" s="25" t="s">
        <v>663</v>
      </c>
      <c r="I155" s="21" t="s">
        <v>693</v>
      </c>
      <c r="J155" s="21" t="s">
        <v>694</v>
      </c>
      <c r="K155" s="5"/>
      <c r="L155" s="6"/>
      <c r="M155" s="5">
        <f>K155-L155</f>
        <v>0</v>
      </c>
      <c r="N155" s="7"/>
      <c r="O155" s="5">
        <v>730000</v>
      </c>
      <c r="P155" s="8"/>
      <c r="Q155" s="7">
        <v>50000</v>
      </c>
      <c r="R155" s="7">
        <v>400000</v>
      </c>
      <c r="S155" s="7"/>
      <c r="T155" s="9">
        <v>11000000</v>
      </c>
      <c r="U155" s="9"/>
      <c r="V155" s="9">
        <f>4400000*U155</f>
        <v>0</v>
      </c>
      <c r="W155" s="10">
        <f>AI155*8%</f>
        <v>384000</v>
      </c>
      <c r="X155" s="10">
        <f>AI155*1.5%</f>
        <v>72000</v>
      </c>
      <c r="Y155" s="10">
        <f>AI155*1%</f>
        <v>48000</v>
      </c>
      <c r="Z155" s="10">
        <f>AI155*1%</f>
        <v>48000</v>
      </c>
      <c r="AA155" s="11">
        <f>SUM(L155:N155)+S155-T155-SUM(V155:Y155)</f>
        <v>-11504000</v>
      </c>
      <c r="AB155" s="5">
        <f>ROUND(IF(AA155&gt;0,IF(AA155&gt;80000000,(AA155-80000000)*35%+18150000,IF(AA155&gt;52000000,(AA155-52000000)*30%+9750000,IF(AA155&gt;32000000,(AA155-32000000)*25%+4750000,IF(AA155&gt;18000000,(AA155-18000000)*20%+1950000,IF(AA155&gt;10000000,(AA155-10000000)*15%+750000,IF(AA155&gt;5000000,(AA155-5000000)*10%+250000,AA155*5%)))))),0),0)</f>
        <v>0</v>
      </c>
      <c r="AC155" s="5"/>
      <c r="AD155" s="12">
        <f>ROUND(SUM(L155:S155)-SUM(W155:Z155)-AB155+AC155,0)</f>
        <v>628000</v>
      </c>
      <c r="AE155" s="13"/>
      <c r="AF155" s="12">
        <f>SUM(L155:S155)</f>
        <v>1180000</v>
      </c>
      <c r="AG155" s="12">
        <f>SUM(L155+N155)*23.5%</f>
        <v>0</v>
      </c>
      <c r="AH155" s="12">
        <f>SUM(AF155:AG155)</f>
        <v>1180000</v>
      </c>
      <c r="AI155" s="12">
        <f>IF(L155+N155&lt;4800000,4800000,MIN(29800000,L155+N155))</f>
        <v>4800000</v>
      </c>
    </row>
    <row r="156" spans="1:35" ht="15">
      <c r="A156" s="4" t="s">
        <v>695</v>
      </c>
      <c r="B156" s="25" t="s">
        <v>696</v>
      </c>
      <c r="C156" s="25" t="s">
        <v>39</v>
      </c>
      <c r="D156" s="25" t="s">
        <v>697</v>
      </c>
      <c r="E156" s="25" t="s">
        <v>41</v>
      </c>
      <c r="F156" s="25"/>
      <c r="G156" s="25"/>
      <c r="H156" s="25" t="s">
        <v>663</v>
      </c>
      <c r="I156" s="21" t="s">
        <v>698</v>
      </c>
      <c r="J156" s="21" t="s">
        <v>60</v>
      </c>
      <c r="K156" s="5"/>
      <c r="L156" s="6"/>
      <c r="M156" s="5">
        <f>K156-L156</f>
        <v>0</v>
      </c>
      <c r="N156" s="7"/>
      <c r="O156" s="5">
        <v>730000</v>
      </c>
      <c r="P156" s="8"/>
      <c r="Q156" s="7">
        <v>50000</v>
      </c>
      <c r="R156" s="7">
        <v>400000</v>
      </c>
      <c r="S156" s="7"/>
      <c r="T156" s="9">
        <v>11000000</v>
      </c>
      <c r="U156" s="9"/>
      <c r="V156" s="9">
        <f>4400000*U156</f>
        <v>0</v>
      </c>
      <c r="W156" s="10">
        <f>AI156*8%</f>
        <v>384000</v>
      </c>
      <c r="X156" s="10">
        <f>AI156*1.5%</f>
        <v>72000</v>
      </c>
      <c r="Y156" s="10">
        <f>AI156*1%</f>
        <v>48000</v>
      </c>
      <c r="Z156" s="10">
        <f>AI156*1%</f>
        <v>48000</v>
      </c>
      <c r="AA156" s="11">
        <f>SUM(L156:N156)+S156-T156-SUM(V156:Y156)</f>
        <v>-11504000</v>
      </c>
      <c r="AB156" s="5">
        <f>ROUND(IF(AA156&gt;0,IF(AA156&gt;80000000,(AA156-80000000)*35%+18150000,IF(AA156&gt;52000000,(AA156-52000000)*30%+9750000,IF(AA156&gt;32000000,(AA156-32000000)*25%+4750000,IF(AA156&gt;18000000,(AA156-18000000)*20%+1950000,IF(AA156&gt;10000000,(AA156-10000000)*15%+750000,IF(AA156&gt;5000000,(AA156-5000000)*10%+250000,AA156*5%)))))),0),0)</f>
        <v>0</v>
      </c>
      <c r="AC156" s="5"/>
      <c r="AD156" s="12">
        <f>ROUND(SUM(L156:S156)-SUM(W156:Z156)-AB156+AC156,0)</f>
        <v>628000</v>
      </c>
      <c r="AE156" s="13"/>
      <c r="AF156" s="12">
        <f>SUM(L156:S156)</f>
        <v>1180000</v>
      </c>
      <c r="AG156" s="12">
        <f>SUM(L156+N156)*23.5%</f>
        <v>0</v>
      </c>
      <c r="AH156" s="12">
        <f>SUM(AF156:AG156)</f>
        <v>1180000</v>
      </c>
      <c r="AI156" s="12">
        <f>IF(L156+N156&lt;4800000,4800000,MIN(29800000,L156+N156))</f>
        <v>4800000</v>
      </c>
    </row>
    <row r="157" spans="1:35" ht="15">
      <c r="A157" s="4" t="s">
        <v>699</v>
      </c>
      <c r="B157" s="25" t="s">
        <v>700</v>
      </c>
      <c r="C157" s="25" t="s">
        <v>39</v>
      </c>
      <c r="D157" s="25" t="s">
        <v>701</v>
      </c>
      <c r="E157" s="25" t="s">
        <v>41</v>
      </c>
      <c r="F157" s="25"/>
      <c r="G157" s="25"/>
      <c r="H157" s="25" t="s">
        <v>663</v>
      </c>
      <c r="I157" s="21" t="s">
        <v>702</v>
      </c>
      <c r="J157" s="21" t="s">
        <v>60</v>
      </c>
      <c r="K157" s="5"/>
      <c r="L157" s="6"/>
      <c r="M157" s="5">
        <f>K157-L157</f>
        <v>0</v>
      </c>
      <c r="N157" s="7"/>
      <c r="O157" s="5">
        <v>730000</v>
      </c>
      <c r="P157" s="8"/>
      <c r="Q157" s="7">
        <v>50000</v>
      </c>
      <c r="R157" s="7">
        <v>400000</v>
      </c>
      <c r="S157" s="7"/>
      <c r="T157" s="9">
        <v>11000000</v>
      </c>
      <c r="U157" s="9"/>
      <c r="V157" s="9">
        <f>4400000*U157</f>
        <v>0</v>
      </c>
      <c r="W157" s="10">
        <f>AI157*8%</f>
        <v>384000</v>
      </c>
      <c r="X157" s="10">
        <f>AI157*1.5%</f>
        <v>72000</v>
      </c>
      <c r="Y157" s="10">
        <f>AI157*1%</f>
        <v>48000</v>
      </c>
      <c r="Z157" s="10">
        <f>AI157*1%</f>
        <v>48000</v>
      </c>
      <c r="AA157" s="11">
        <f>SUM(L157:N157)+S157-T157-SUM(V157:Y157)</f>
        <v>-11504000</v>
      </c>
      <c r="AB157" s="5">
        <f>ROUND(IF(AA157&gt;0,IF(AA157&gt;80000000,(AA157-80000000)*35%+18150000,IF(AA157&gt;52000000,(AA157-52000000)*30%+9750000,IF(AA157&gt;32000000,(AA157-32000000)*25%+4750000,IF(AA157&gt;18000000,(AA157-18000000)*20%+1950000,IF(AA157&gt;10000000,(AA157-10000000)*15%+750000,IF(AA157&gt;5000000,(AA157-5000000)*10%+250000,AA157*5%)))))),0),0)</f>
        <v>0</v>
      </c>
      <c r="AC157" s="5"/>
      <c r="AD157" s="12">
        <f>ROUND(SUM(L157:S157)-SUM(W157:Z157)-AB157+AC157,0)</f>
        <v>628000</v>
      </c>
      <c r="AE157" s="13"/>
      <c r="AF157" s="12">
        <f>SUM(L157:S157)</f>
        <v>1180000</v>
      </c>
      <c r="AG157" s="12">
        <f>SUM(L157+N157)*23.5%</f>
        <v>0</v>
      </c>
      <c r="AH157" s="12">
        <f>SUM(AF157:AG157)</f>
        <v>1180000</v>
      </c>
      <c r="AI157" s="12">
        <f>IF(L157+N157&lt;4800000,4800000,MIN(29800000,L157+N157))</f>
        <v>4800000</v>
      </c>
    </row>
    <row r="158" spans="1:35" ht="15">
      <c r="A158" s="4" t="s">
        <v>703</v>
      </c>
      <c r="B158" s="25" t="s">
        <v>704</v>
      </c>
      <c r="C158" s="25" t="s">
        <v>39</v>
      </c>
      <c r="D158" s="25" t="s">
        <v>705</v>
      </c>
      <c r="E158" s="25" t="s">
        <v>41</v>
      </c>
      <c r="F158" s="25"/>
      <c r="G158" s="25"/>
      <c r="H158" s="25" t="s">
        <v>663</v>
      </c>
      <c r="I158" s="21" t="s">
        <v>706</v>
      </c>
      <c r="J158" s="21" t="s">
        <v>694</v>
      </c>
      <c r="K158" s="5"/>
      <c r="L158" s="6"/>
      <c r="M158" s="5">
        <f>K158-L158</f>
        <v>0</v>
      </c>
      <c r="N158" s="7"/>
      <c r="O158" s="5">
        <v>730000</v>
      </c>
      <c r="P158" s="8"/>
      <c r="Q158" s="7">
        <v>50000</v>
      </c>
      <c r="R158" s="7">
        <v>400000</v>
      </c>
      <c r="S158" s="7"/>
      <c r="T158" s="9">
        <v>11000000</v>
      </c>
      <c r="U158" s="9"/>
      <c r="V158" s="9">
        <f>4400000*U158</f>
        <v>0</v>
      </c>
      <c r="W158" s="10">
        <f>AI158*8%</f>
        <v>384000</v>
      </c>
      <c r="X158" s="10">
        <f>AI158*1.5%</f>
        <v>72000</v>
      </c>
      <c r="Y158" s="10">
        <f>AI158*1%</f>
        <v>48000</v>
      </c>
      <c r="Z158" s="10">
        <f>AI158*1%</f>
        <v>48000</v>
      </c>
      <c r="AA158" s="11">
        <f>SUM(L158:N158)+S158-T158-SUM(V158:Y158)</f>
        <v>-11504000</v>
      </c>
      <c r="AB158" s="5">
        <f>ROUND(IF(AA158&gt;0,IF(AA158&gt;80000000,(AA158-80000000)*35%+18150000,IF(AA158&gt;52000000,(AA158-52000000)*30%+9750000,IF(AA158&gt;32000000,(AA158-32000000)*25%+4750000,IF(AA158&gt;18000000,(AA158-18000000)*20%+1950000,IF(AA158&gt;10000000,(AA158-10000000)*15%+750000,IF(AA158&gt;5000000,(AA158-5000000)*10%+250000,AA158*5%)))))),0),0)</f>
        <v>0</v>
      </c>
      <c r="AC158" s="5"/>
      <c r="AD158" s="12">
        <f>ROUND(SUM(L158:S158)-SUM(W158:Z158)-AB158+AC158,0)</f>
        <v>628000</v>
      </c>
      <c r="AE158" s="13"/>
      <c r="AF158" s="12">
        <f>SUM(L158:S158)</f>
        <v>1180000</v>
      </c>
      <c r="AG158" s="12">
        <f>SUM(L158+N158)*23.5%</f>
        <v>0</v>
      </c>
      <c r="AH158" s="12">
        <f>SUM(AF158:AG158)</f>
        <v>1180000</v>
      </c>
      <c r="AI158" s="12">
        <f>IF(L158+N158&lt;4800000,4800000,MIN(29800000,L158+N158))</f>
        <v>4800000</v>
      </c>
    </row>
    <row r="159" spans="1:35" ht="15">
      <c r="A159" s="4" t="s">
        <v>707</v>
      </c>
      <c r="B159" s="25" t="s">
        <v>708</v>
      </c>
      <c r="C159" s="25" t="s">
        <v>39</v>
      </c>
      <c r="D159" s="25" t="s">
        <v>709</v>
      </c>
      <c r="E159" s="25" t="s">
        <v>41</v>
      </c>
      <c r="F159" s="25"/>
      <c r="G159" s="25"/>
      <c r="H159" s="25" t="s">
        <v>663</v>
      </c>
      <c r="I159" s="21" t="s">
        <v>710</v>
      </c>
      <c r="J159" s="21" t="s">
        <v>711</v>
      </c>
      <c r="K159" s="5"/>
      <c r="L159" s="6"/>
      <c r="M159" s="5">
        <f>K159-L159</f>
        <v>0</v>
      </c>
      <c r="N159" s="7"/>
      <c r="O159" s="5">
        <v>730000</v>
      </c>
      <c r="P159" s="8"/>
      <c r="Q159" s="7">
        <v>50000</v>
      </c>
      <c r="R159" s="7">
        <v>400000</v>
      </c>
      <c r="S159" s="7"/>
      <c r="T159" s="9">
        <v>11000000</v>
      </c>
      <c r="U159" s="9"/>
      <c r="V159" s="9">
        <f>4400000*U159</f>
        <v>0</v>
      </c>
      <c r="W159" s="10">
        <f>AI159*8%</f>
        <v>384000</v>
      </c>
      <c r="X159" s="10">
        <f>AI159*1.5%</f>
        <v>72000</v>
      </c>
      <c r="Y159" s="10">
        <f>AI159*1%</f>
        <v>48000</v>
      </c>
      <c r="Z159" s="10">
        <f>AI159*1%</f>
        <v>48000</v>
      </c>
      <c r="AA159" s="11">
        <f>SUM(L159:N159)+S159-T159-SUM(V159:Y159)</f>
        <v>-11504000</v>
      </c>
      <c r="AB159" s="5">
        <f>ROUND(IF(AA159&gt;0,IF(AA159&gt;80000000,(AA159-80000000)*35%+18150000,IF(AA159&gt;52000000,(AA159-52000000)*30%+9750000,IF(AA159&gt;32000000,(AA159-32000000)*25%+4750000,IF(AA159&gt;18000000,(AA159-18000000)*20%+1950000,IF(AA159&gt;10000000,(AA159-10000000)*15%+750000,IF(AA159&gt;5000000,(AA159-5000000)*10%+250000,AA159*5%)))))),0),0)</f>
        <v>0</v>
      </c>
      <c r="AC159" s="5"/>
      <c r="AD159" s="12">
        <f>ROUND(SUM(L159:S159)-SUM(W159:Z159)-AB159+AC159,0)</f>
        <v>628000</v>
      </c>
      <c r="AE159" s="13"/>
      <c r="AF159" s="12">
        <f>SUM(L159:S159)</f>
        <v>1180000</v>
      </c>
      <c r="AG159" s="12">
        <f>SUM(L159+N159)*23.5%</f>
        <v>0</v>
      </c>
      <c r="AH159" s="12">
        <f>SUM(AF159:AG159)</f>
        <v>1180000</v>
      </c>
      <c r="AI159" s="12">
        <f>IF(L159+N159&lt;4800000,4800000,MIN(29800000,L159+N159))</f>
        <v>4800000</v>
      </c>
    </row>
    <row r="160" spans="1:35" ht="15">
      <c r="A160" s="4" t="s">
        <v>712</v>
      </c>
      <c r="B160" s="25" t="s">
        <v>713</v>
      </c>
      <c r="C160" s="25" t="s">
        <v>39</v>
      </c>
      <c r="D160" s="25" t="s">
        <v>714</v>
      </c>
      <c r="E160" s="25" t="s">
        <v>41</v>
      </c>
      <c r="F160" s="25"/>
      <c r="G160" s="25"/>
      <c r="H160" s="25" t="s">
        <v>663</v>
      </c>
      <c r="I160" s="21" t="s">
        <v>715</v>
      </c>
      <c r="J160" s="21" t="s">
        <v>60</v>
      </c>
      <c r="K160" s="5"/>
      <c r="L160" s="6"/>
      <c r="M160" s="5">
        <f>K160-L160</f>
        <v>0</v>
      </c>
      <c r="N160" s="7"/>
      <c r="O160" s="5">
        <v>730000</v>
      </c>
      <c r="P160" s="8"/>
      <c r="Q160" s="7">
        <v>50000</v>
      </c>
      <c r="R160" s="7">
        <v>400000</v>
      </c>
      <c r="S160" s="7"/>
      <c r="T160" s="9">
        <v>11000000</v>
      </c>
      <c r="U160" s="9"/>
      <c r="V160" s="9">
        <f>4400000*U160</f>
        <v>0</v>
      </c>
      <c r="W160" s="10">
        <f>AI160*8%</f>
        <v>384000</v>
      </c>
      <c r="X160" s="10">
        <f>AI160*1.5%</f>
        <v>72000</v>
      </c>
      <c r="Y160" s="10">
        <f>AI160*1%</f>
        <v>48000</v>
      </c>
      <c r="Z160" s="10">
        <f>AI160*1%</f>
        <v>48000</v>
      </c>
      <c r="AA160" s="11">
        <f>SUM(L160:N160)+S160-T160-SUM(V160:Y160)</f>
        <v>-11504000</v>
      </c>
      <c r="AB160" s="5">
        <f>ROUND(IF(AA160&gt;0,IF(AA160&gt;80000000,(AA160-80000000)*35%+18150000,IF(AA160&gt;52000000,(AA160-52000000)*30%+9750000,IF(AA160&gt;32000000,(AA160-32000000)*25%+4750000,IF(AA160&gt;18000000,(AA160-18000000)*20%+1950000,IF(AA160&gt;10000000,(AA160-10000000)*15%+750000,IF(AA160&gt;5000000,(AA160-5000000)*10%+250000,AA160*5%)))))),0),0)</f>
        <v>0</v>
      </c>
      <c r="AC160" s="5"/>
      <c r="AD160" s="12">
        <f>ROUND(SUM(L160:S160)-SUM(W160:Z160)-AB160+AC160,0)</f>
        <v>628000</v>
      </c>
      <c r="AE160" s="13"/>
      <c r="AF160" s="12">
        <f>SUM(L160:S160)</f>
        <v>1180000</v>
      </c>
      <c r="AG160" s="12">
        <f>SUM(L160+N160)*23.5%</f>
        <v>0</v>
      </c>
      <c r="AH160" s="12">
        <f>SUM(AF160:AG160)</f>
        <v>1180000</v>
      </c>
      <c r="AI160" s="12">
        <f>IF(L160+N160&lt;4800000,4800000,MIN(29800000,L160+N160))</f>
        <v>4800000</v>
      </c>
    </row>
    <row r="161" spans="1:35" ht="15">
      <c r="A161" s="4" t="s">
        <v>716</v>
      </c>
      <c r="B161" s="25" t="s">
        <v>717</v>
      </c>
      <c r="C161" s="25" t="s">
        <v>39</v>
      </c>
      <c r="D161" s="25" t="s">
        <v>718</v>
      </c>
      <c r="E161" s="25" t="s">
        <v>41</v>
      </c>
      <c r="F161" s="25"/>
      <c r="G161" s="25"/>
      <c r="H161" s="25" t="s">
        <v>719</v>
      </c>
      <c r="I161" s="21" t="s">
        <v>720</v>
      </c>
      <c r="J161" s="21" t="s">
        <v>97</v>
      </c>
      <c r="K161" s="5"/>
      <c r="L161" s="6"/>
      <c r="M161" s="5">
        <f>K161-L161</f>
        <v>0</v>
      </c>
      <c r="N161" s="7"/>
      <c r="O161" s="5">
        <v>730000</v>
      </c>
      <c r="P161" s="8"/>
      <c r="Q161" s="7">
        <v>50000</v>
      </c>
      <c r="R161" s="7">
        <v>400000</v>
      </c>
      <c r="S161" s="7"/>
      <c r="T161" s="9">
        <v>11000000</v>
      </c>
      <c r="U161" s="9"/>
      <c r="V161" s="9">
        <f>4400000*U161</f>
        <v>0</v>
      </c>
      <c r="W161" s="10">
        <f>AI161*8%</f>
        <v>384000</v>
      </c>
      <c r="X161" s="10">
        <f>AI161*1.5%</f>
        <v>72000</v>
      </c>
      <c r="Y161" s="10">
        <f>AI161*1%</f>
        <v>48000</v>
      </c>
      <c r="Z161" s="10">
        <f>AI161*1%</f>
        <v>48000</v>
      </c>
      <c r="AA161" s="11">
        <f>SUM(L161:N161)+S161-T161-SUM(V161:Y161)</f>
        <v>-11504000</v>
      </c>
      <c r="AB161" s="5">
        <f>ROUND(IF(AA161&gt;0,IF(AA161&gt;80000000,(AA161-80000000)*35%+18150000,IF(AA161&gt;52000000,(AA161-52000000)*30%+9750000,IF(AA161&gt;32000000,(AA161-32000000)*25%+4750000,IF(AA161&gt;18000000,(AA161-18000000)*20%+1950000,IF(AA161&gt;10000000,(AA161-10000000)*15%+750000,IF(AA161&gt;5000000,(AA161-5000000)*10%+250000,AA161*5%)))))),0),0)</f>
        <v>0</v>
      </c>
      <c r="AC161" s="5"/>
      <c r="AD161" s="12">
        <f>ROUND(SUM(L161:S161)-SUM(W161:Z161)-AB161+AC161,0)</f>
        <v>628000</v>
      </c>
      <c r="AE161" s="13"/>
      <c r="AF161" s="12">
        <f>SUM(L161:S161)</f>
        <v>1180000</v>
      </c>
      <c r="AG161" s="12">
        <f>SUM(L161+N161)*23.5%</f>
        <v>0</v>
      </c>
      <c r="AH161" s="12">
        <f>SUM(AF161:AG161)</f>
        <v>1180000</v>
      </c>
      <c r="AI161" s="12">
        <f>IF(L161+N161&lt;4800000,4800000,MIN(29800000,L161+N161))</f>
        <v>4800000</v>
      </c>
    </row>
    <row r="162" spans="1:35" ht="15">
      <c r="A162" s="4" t="s">
        <v>721</v>
      </c>
      <c r="B162" s="25" t="s">
        <v>722</v>
      </c>
      <c r="C162" s="25" t="s">
        <v>39</v>
      </c>
      <c r="D162" s="25" t="s">
        <v>723</v>
      </c>
      <c r="E162" s="25" t="s">
        <v>41</v>
      </c>
      <c r="F162" s="25"/>
      <c r="G162" s="25"/>
      <c r="H162" s="25" t="s">
        <v>719</v>
      </c>
      <c r="I162" s="21" t="s">
        <v>724</v>
      </c>
      <c r="J162" s="21" t="s">
        <v>97</v>
      </c>
      <c r="K162" s="5"/>
      <c r="L162" s="6"/>
      <c r="M162" s="5">
        <f>K162-L162</f>
        <v>0</v>
      </c>
      <c r="N162" s="7"/>
      <c r="O162" s="5">
        <v>730000</v>
      </c>
      <c r="P162" s="8"/>
      <c r="Q162" s="7">
        <v>50000</v>
      </c>
      <c r="R162" s="7">
        <v>400000</v>
      </c>
      <c r="S162" s="7"/>
      <c r="T162" s="9">
        <v>11000000</v>
      </c>
      <c r="U162" s="9"/>
      <c r="V162" s="9">
        <f>4400000*U162</f>
        <v>0</v>
      </c>
      <c r="W162" s="10">
        <f>AI162*8%</f>
        <v>384000</v>
      </c>
      <c r="X162" s="10">
        <f>AI162*1.5%</f>
        <v>72000</v>
      </c>
      <c r="Y162" s="10">
        <f>AI162*1%</f>
        <v>48000</v>
      </c>
      <c r="Z162" s="10">
        <f>AI162*1%</f>
        <v>48000</v>
      </c>
      <c r="AA162" s="11">
        <f>SUM(L162:N162)+S162-T162-SUM(V162:Y162)</f>
        <v>-11504000</v>
      </c>
      <c r="AB162" s="5">
        <f>ROUND(IF(AA162&gt;0,IF(AA162&gt;80000000,(AA162-80000000)*35%+18150000,IF(AA162&gt;52000000,(AA162-52000000)*30%+9750000,IF(AA162&gt;32000000,(AA162-32000000)*25%+4750000,IF(AA162&gt;18000000,(AA162-18000000)*20%+1950000,IF(AA162&gt;10000000,(AA162-10000000)*15%+750000,IF(AA162&gt;5000000,(AA162-5000000)*10%+250000,AA162*5%)))))),0),0)</f>
        <v>0</v>
      </c>
      <c r="AC162" s="5"/>
      <c r="AD162" s="12">
        <f>ROUND(SUM(L162:S162)-SUM(W162:Z162)-AB162+AC162,0)</f>
        <v>628000</v>
      </c>
      <c r="AE162" s="13"/>
      <c r="AF162" s="12">
        <f>SUM(L162:S162)</f>
        <v>1180000</v>
      </c>
      <c r="AG162" s="12">
        <f>SUM(L162+N162)*23.5%</f>
        <v>0</v>
      </c>
      <c r="AH162" s="12">
        <f>SUM(AF162:AG162)</f>
        <v>1180000</v>
      </c>
      <c r="AI162" s="12">
        <f>IF(L162+N162&lt;4800000,4800000,MIN(29800000,L162+N162))</f>
        <v>4800000</v>
      </c>
    </row>
    <row r="163" spans="1:35" ht="15">
      <c r="A163" s="4" t="s">
        <v>725</v>
      </c>
      <c r="B163" s="25" t="s">
        <v>726</v>
      </c>
      <c r="C163" s="25" t="s">
        <v>39</v>
      </c>
      <c r="D163" s="25" t="s">
        <v>727</v>
      </c>
      <c r="E163" s="25" t="s">
        <v>41</v>
      </c>
      <c r="F163" s="25"/>
      <c r="G163" s="25"/>
      <c r="H163" s="25" t="s">
        <v>719</v>
      </c>
      <c r="I163" s="21" t="s">
        <v>728</v>
      </c>
      <c r="J163" s="21" t="s">
        <v>729</v>
      </c>
      <c r="K163" s="5"/>
      <c r="L163" s="6"/>
      <c r="M163" s="5">
        <f>K163-L163</f>
        <v>0</v>
      </c>
      <c r="N163" s="7"/>
      <c r="O163" s="5">
        <v>730000</v>
      </c>
      <c r="P163" s="8"/>
      <c r="Q163" s="7">
        <v>50000</v>
      </c>
      <c r="R163" s="7">
        <v>400000</v>
      </c>
      <c r="S163" s="7"/>
      <c r="T163" s="9">
        <v>11000000</v>
      </c>
      <c r="U163" s="9"/>
      <c r="V163" s="9">
        <f>4400000*U163</f>
        <v>0</v>
      </c>
      <c r="W163" s="10">
        <f>AI163*8%</f>
        <v>384000</v>
      </c>
      <c r="X163" s="10">
        <f>AI163*1.5%</f>
        <v>72000</v>
      </c>
      <c r="Y163" s="10">
        <f>AI163*1%</f>
        <v>48000</v>
      </c>
      <c r="Z163" s="10">
        <f>AI163*1%</f>
        <v>48000</v>
      </c>
      <c r="AA163" s="11">
        <f>SUM(L163:N163)+S163-T163-SUM(V163:Y163)</f>
        <v>-11504000</v>
      </c>
      <c r="AB163" s="5">
        <f>ROUND(IF(AA163&gt;0,IF(AA163&gt;80000000,(AA163-80000000)*35%+18150000,IF(AA163&gt;52000000,(AA163-52000000)*30%+9750000,IF(AA163&gt;32000000,(AA163-32000000)*25%+4750000,IF(AA163&gt;18000000,(AA163-18000000)*20%+1950000,IF(AA163&gt;10000000,(AA163-10000000)*15%+750000,IF(AA163&gt;5000000,(AA163-5000000)*10%+250000,AA163*5%)))))),0),0)</f>
        <v>0</v>
      </c>
      <c r="AC163" s="5"/>
      <c r="AD163" s="12">
        <f>ROUND(SUM(L163:S163)-SUM(W163:Z163)-AB163+AC163,0)</f>
        <v>628000</v>
      </c>
      <c r="AE163" s="13"/>
      <c r="AF163" s="12">
        <f>SUM(L163:S163)</f>
        <v>1180000</v>
      </c>
      <c r="AG163" s="12">
        <f>SUM(L163+N163)*23.5%</f>
        <v>0</v>
      </c>
      <c r="AH163" s="12">
        <f>SUM(AF163:AG163)</f>
        <v>1180000</v>
      </c>
      <c r="AI163" s="12">
        <f>IF(L163+N163&lt;4800000,4800000,MIN(29800000,L163+N163))</f>
        <v>4800000</v>
      </c>
    </row>
    <row r="164" spans="1:35" ht="15">
      <c r="A164" s="4" t="s">
        <v>730</v>
      </c>
      <c r="B164" s="25" t="s">
        <v>731</v>
      </c>
      <c r="C164" s="25" t="s">
        <v>39</v>
      </c>
      <c r="D164" s="25" t="s">
        <v>732</v>
      </c>
      <c r="E164" s="25" t="s">
        <v>41</v>
      </c>
      <c r="F164" s="25"/>
      <c r="G164" s="25"/>
      <c r="H164" s="25" t="s">
        <v>719</v>
      </c>
      <c r="I164" s="21" t="s">
        <v>733</v>
      </c>
      <c r="J164" s="21" t="s">
        <v>97</v>
      </c>
      <c r="K164" s="5"/>
      <c r="L164" s="6"/>
      <c r="M164" s="5">
        <f>K164-L164</f>
        <v>0</v>
      </c>
      <c r="N164" s="7"/>
      <c r="O164" s="5">
        <v>730000</v>
      </c>
      <c r="P164" s="8"/>
      <c r="Q164" s="7">
        <v>50000</v>
      </c>
      <c r="R164" s="7">
        <v>400000</v>
      </c>
      <c r="S164" s="7"/>
      <c r="T164" s="9">
        <v>11000000</v>
      </c>
      <c r="U164" s="9"/>
      <c r="V164" s="9">
        <f>4400000*U164</f>
        <v>0</v>
      </c>
      <c r="W164" s="10">
        <f>AI164*8%</f>
        <v>384000</v>
      </c>
      <c r="X164" s="10">
        <f>AI164*1.5%</f>
        <v>72000</v>
      </c>
      <c r="Y164" s="10">
        <f>AI164*1%</f>
        <v>48000</v>
      </c>
      <c r="Z164" s="10">
        <f>AI164*1%</f>
        <v>48000</v>
      </c>
      <c r="AA164" s="11">
        <f>SUM(L164:N164)+S164-T164-SUM(V164:Y164)</f>
        <v>-11504000</v>
      </c>
      <c r="AB164" s="5">
        <f>ROUND(IF(AA164&gt;0,IF(AA164&gt;80000000,(AA164-80000000)*35%+18150000,IF(AA164&gt;52000000,(AA164-52000000)*30%+9750000,IF(AA164&gt;32000000,(AA164-32000000)*25%+4750000,IF(AA164&gt;18000000,(AA164-18000000)*20%+1950000,IF(AA164&gt;10000000,(AA164-10000000)*15%+750000,IF(AA164&gt;5000000,(AA164-5000000)*10%+250000,AA164*5%)))))),0),0)</f>
        <v>0</v>
      </c>
      <c r="AC164" s="5"/>
      <c r="AD164" s="12">
        <f>ROUND(SUM(L164:S164)-SUM(W164:Z164)-AB164+AC164,0)</f>
        <v>628000</v>
      </c>
      <c r="AE164" s="13"/>
      <c r="AF164" s="12">
        <f>SUM(L164:S164)</f>
        <v>1180000</v>
      </c>
      <c r="AG164" s="12">
        <f>SUM(L164+N164)*23.5%</f>
        <v>0</v>
      </c>
      <c r="AH164" s="12">
        <f>SUM(AF164:AG164)</f>
        <v>1180000</v>
      </c>
      <c r="AI164" s="12">
        <f>IF(L164+N164&lt;4800000,4800000,MIN(29800000,L164+N164))</f>
        <v>4800000</v>
      </c>
    </row>
    <row r="165" spans="1:35" ht="15">
      <c r="A165" s="4" t="s">
        <v>734</v>
      </c>
      <c r="B165" s="25" t="s">
        <v>735</v>
      </c>
      <c r="C165" s="25" t="s">
        <v>39</v>
      </c>
      <c r="D165" s="25" t="s">
        <v>736</v>
      </c>
      <c r="E165" s="25" t="s">
        <v>41</v>
      </c>
      <c r="F165" s="25"/>
      <c r="G165" s="25"/>
      <c r="H165" s="25" t="s">
        <v>719</v>
      </c>
      <c r="I165" s="21" t="s">
        <v>737</v>
      </c>
      <c r="J165" s="21" t="s">
        <v>60</v>
      </c>
      <c r="K165" s="5"/>
      <c r="L165" s="6"/>
      <c r="M165" s="5">
        <f>K165-L165</f>
        <v>0</v>
      </c>
      <c r="N165" s="7"/>
      <c r="O165" s="5">
        <v>730000</v>
      </c>
      <c r="P165" s="8"/>
      <c r="Q165" s="7">
        <v>50000</v>
      </c>
      <c r="R165" s="7">
        <v>400000</v>
      </c>
      <c r="S165" s="7"/>
      <c r="T165" s="9">
        <v>11000000</v>
      </c>
      <c r="U165" s="9"/>
      <c r="V165" s="9">
        <f>4400000*U165</f>
        <v>0</v>
      </c>
      <c r="W165" s="10">
        <f>AI165*8%</f>
        <v>384000</v>
      </c>
      <c r="X165" s="10">
        <f>AI165*1.5%</f>
        <v>72000</v>
      </c>
      <c r="Y165" s="10">
        <f>AI165*1%</f>
        <v>48000</v>
      </c>
      <c r="Z165" s="10">
        <f>AI165*1%</f>
        <v>48000</v>
      </c>
      <c r="AA165" s="11">
        <f>SUM(L165:N165)+S165-T165-SUM(V165:Y165)</f>
        <v>-11504000</v>
      </c>
      <c r="AB165" s="5">
        <f>ROUND(IF(AA165&gt;0,IF(AA165&gt;80000000,(AA165-80000000)*35%+18150000,IF(AA165&gt;52000000,(AA165-52000000)*30%+9750000,IF(AA165&gt;32000000,(AA165-32000000)*25%+4750000,IF(AA165&gt;18000000,(AA165-18000000)*20%+1950000,IF(AA165&gt;10000000,(AA165-10000000)*15%+750000,IF(AA165&gt;5000000,(AA165-5000000)*10%+250000,AA165*5%)))))),0),0)</f>
        <v>0</v>
      </c>
      <c r="AC165" s="5"/>
      <c r="AD165" s="12">
        <f>ROUND(SUM(L165:S165)-SUM(W165:Z165)-AB165+AC165,0)</f>
        <v>628000</v>
      </c>
      <c r="AE165" s="13"/>
      <c r="AF165" s="12">
        <f>SUM(L165:S165)</f>
        <v>1180000</v>
      </c>
      <c r="AG165" s="12">
        <f>SUM(L165+N165)*23.5%</f>
        <v>0</v>
      </c>
      <c r="AH165" s="12">
        <f>SUM(AF165:AG165)</f>
        <v>1180000</v>
      </c>
      <c r="AI165" s="12">
        <f>IF(L165+N165&lt;4800000,4800000,MIN(29800000,L165+N165))</f>
        <v>4800000</v>
      </c>
    </row>
  </sheetData>
  <mergeCells count="25">
    <mergeCell ref="AI1:AI2"/>
    <mergeCell ref="N1:S1"/>
    <mergeCell ref="T1:T2"/>
    <mergeCell ref="U1:U2"/>
    <mergeCell ref="V1:V2"/>
    <mergeCell ref="W1:AB1"/>
    <mergeCell ref="AC1:AC2"/>
    <mergeCell ref="AD1:AD2"/>
    <mergeCell ref="AE1:AE2"/>
    <mergeCell ref="AF1:AF2"/>
    <mergeCell ref="AG1:AG2"/>
    <mergeCell ref="AH1:AH2"/>
    <mergeCell ref="M1:M2"/>
    <mergeCell ref="A1:A2"/>
    <mergeCell ref="B1:B2"/>
    <mergeCell ref="C1:C2"/>
    <mergeCell ref="E1:E2"/>
    <mergeCell ref="F1:F2"/>
    <mergeCell ref="G1:G2"/>
    <mergeCell ref="H1:H2"/>
    <mergeCell ref="I1:I2"/>
    <mergeCell ref="J1:J2"/>
    <mergeCell ref="K1:K2"/>
    <mergeCell ref="L1:L2"/>
    <mergeCell ref="D1:D2"/>
  </mergeCells>
  <printOptions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Nguyễn Tuấn Dương</dc:creator>
  <cp:keywords/>
  <dc:description/>
  <cp:lastModifiedBy>Nguyễn Tuấn Dương</cp:lastModifiedBy>
  <dcterms:created xsi:type="dcterms:W3CDTF">2021-05-27T03:03:20Z</dcterms:created>
  <dcterms:modified xsi:type="dcterms:W3CDTF">2021-06-07T09:38:46Z</dcterms:modified>
  <cp:category/>
  <cp:contentType/>
  <cp:contentStatus/>
</cp:coreProperties>
</file>