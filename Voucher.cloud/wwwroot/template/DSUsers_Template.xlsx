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enpv\GroupWare\groupware.cloud\wwwroot\template\"/>
    </mc:Choice>
  </mc:AlternateContent>
  <xr:revisionPtr revIDLastSave="0" documentId="8_{D45E1A11-5A7A-46B1-A265-ADB796FBA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KD.TBLNGUOIDUNG" sheetId="1" r:id="rId1"/>
    <sheet name="DMPHONGBAN" sheetId="2" r:id="rId2"/>
    <sheet name="DMCOQUANBO" sheetId="3" r:id="rId3"/>
    <sheet name="taikhoan" sheetId="4" r:id="rId4"/>
    <sheet name="tiemvacxin" sheetId="5" r:id="rId5"/>
    <sheet name="TinhTrangHonNhan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1" l="1"/>
  <c r="BE4" i="1"/>
  <c r="BE5" i="1"/>
  <c r="BE2" i="1"/>
  <c r="BD3" i="1"/>
  <c r="BD4" i="1"/>
  <c r="BD5" i="1"/>
  <c r="BD2" i="1"/>
  <c r="BA2" i="1"/>
  <c r="BB2" i="1"/>
  <c r="BC2" i="1"/>
  <c r="BC3" i="1"/>
  <c r="BC4" i="1"/>
  <c r="BC5" i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B3" i="1"/>
  <c r="BB4" i="1"/>
  <c r="BB5" i="1"/>
  <c r="BA3" i="1"/>
  <c r="BA4" i="1"/>
  <c r="BA5" i="1"/>
</calcChain>
</file>

<file path=xl/sharedStrings.xml><?xml version="1.0" encoding="utf-8"?>
<sst xmlns="http://schemas.openxmlformats.org/spreadsheetml/2006/main" count="1119" uniqueCount="916">
  <si>
    <t>NGUOIDUNGID</t>
  </si>
  <si>
    <t>HOVATEN</t>
  </si>
  <si>
    <t>TENDANGNHAP</t>
  </si>
  <si>
    <t>MATKHAU</t>
  </si>
  <si>
    <t>EMAIL</t>
  </si>
  <si>
    <t>DIENTHOAI</t>
  </si>
  <si>
    <t>AFLOGINID</t>
  </si>
  <si>
    <t>DANHSACHUYQUYEN</t>
  </si>
  <si>
    <t>PHONGBANID</t>
  </si>
  <si>
    <t>COQUANBOID</t>
  </si>
  <si>
    <t>ADLOGINID</t>
  </si>
  <si>
    <t>BOPHANQUANLY</t>
  </si>
  <si>
    <t>BAOCAODEN</t>
  </si>
  <si>
    <t>NHANVIENQUANLY</t>
  </si>
  <si>
    <t>NGAYSINH</t>
  </si>
  <si>
    <t>GIOITINH</t>
  </si>
  <si>
    <t>CHUCVU</t>
  </si>
  <si>
    <t>MANHANVIEN</t>
  </si>
  <si>
    <t>CAPBAC</t>
  </si>
  <si>
    <t>NAMBATDAUKINHNGHIEM</t>
  </si>
  <si>
    <t>SOCCCD</t>
  </si>
  <si>
    <t>NGAYCAP</t>
  </si>
  <si>
    <t>NOICAP</t>
  </si>
  <si>
    <t>QUEQUAN</t>
  </si>
  <si>
    <t>DIACHIHIENTAI</t>
  </si>
  <si>
    <t>TRUONGHOC</t>
  </si>
  <si>
    <t>NGANHHOC</t>
  </si>
  <si>
    <t>TRINHDONGOAINGU</t>
  </si>
  <si>
    <t>NGAYCHINHTHUCLAMVIEC</t>
  </si>
  <si>
    <t>MASOTHUE</t>
  </si>
  <si>
    <t>SOSOBH</t>
  </si>
  <si>
    <t>BIENSOXE</t>
  </si>
  <si>
    <t>VANPHONGID</t>
  </si>
  <si>
    <t>THANHPHANGIADINH</t>
  </si>
  <si>
    <t>DIADIEMLAMVIEC</t>
  </si>
  <si>
    <t>DIACHITHUONGTRU</t>
  </si>
  <si>
    <t>TINHTRANGHONNHAN</t>
  </si>
  <si>
    <t>NGOAINGUKHAC</t>
  </si>
  <si>
    <t>CHUYENNGANHKHAC</t>
  </si>
  <si>
    <t>HOPDONGHIENTAI</t>
  </si>
  <si>
    <t>SOHOPDONGLAODONG</t>
  </si>
  <si>
    <t>TUNGAY</t>
  </si>
  <si>
    <t>DENNGAY</t>
  </si>
  <si>
    <t>SOTAIKHOANLUONG</t>
  </si>
  <si>
    <t>NGUOILIENHE</t>
  </si>
  <si>
    <t>DIENTHOAINGUOILIENHE</t>
  </si>
  <si>
    <t>QUANHE</t>
  </si>
  <si>
    <t>SONGUOIGIAMTRU</t>
  </si>
  <si>
    <t>MASONGUOIPHUTHUOC</t>
  </si>
  <si>
    <t>DATIEMVACXIN</t>
  </si>
  <si>
    <t>LOAIVACXIN</t>
  </si>
  <si>
    <t>NGAYBATDAUDILAM</t>
  </si>
  <si>
    <t>Nguyễn Minh Đức</t>
  </si>
  <si>
    <t>duc-nm</t>
  </si>
  <si>
    <t>duc-nm@hipt.vn</t>
  </si>
  <si>
    <t>0</t>
  </si>
  <si>
    <t>1</t>
  </si>
  <si>
    <t>C</t>
  </si>
  <si>
    <t>Hà Nội</t>
  </si>
  <si>
    <t>Conversation</t>
  </si>
  <si>
    <t>Độc thân</t>
  </si>
  <si>
    <t>Đã tiêm mũi 1</t>
  </si>
  <si>
    <t>Lê Thị Thảo</t>
  </si>
  <si>
    <t>thao-lt</t>
  </si>
  <si>
    <t>thao-lt@hipt.vn</t>
  </si>
  <si>
    <t/>
  </si>
  <si>
    <t>Quách Ngọc Phú</t>
  </si>
  <si>
    <t>phu-qn</t>
  </si>
  <si>
    <t>phu-qn@hipt.vn</t>
  </si>
  <si>
    <t>Chuyên viên</t>
  </si>
  <si>
    <t>D</t>
  </si>
  <si>
    <t>Đã có gia đình</t>
  </si>
  <si>
    <t>XĐTH</t>
  </si>
  <si>
    <t>Nguyễn Thị Oanh</t>
  </si>
  <si>
    <t>oanh-nt</t>
  </si>
  <si>
    <t>oanh-nt@hipt.vn</t>
  </si>
  <si>
    <t>Tài chính - Ngân hàng</t>
  </si>
  <si>
    <t>Nguyễn Phương Dung</t>
  </si>
  <si>
    <t>dung-np</t>
  </si>
  <si>
    <t>dung-np@hipt.vn</t>
  </si>
  <si>
    <t>E</t>
  </si>
  <si>
    <t>Nguyễn Văn Quý</t>
  </si>
  <si>
    <t>quy-nv</t>
  </si>
  <si>
    <t>quy-nv@hipt.vn</t>
  </si>
  <si>
    <t>Vũ Đức Chính</t>
  </si>
  <si>
    <t>chinh-vd</t>
  </si>
  <si>
    <t>A9B76F68325F8EBBDB8CC025321FA214</t>
  </si>
  <si>
    <t>chinh-vd@hipt.vn</t>
  </si>
  <si>
    <t>0943831383</t>
  </si>
  <si>
    <t>033086003713</t>
  </si>
  <si>
    <t>CỤC CẢNH SÁT QUẢN LÝ HÀNH CHÍNH VỀ TRẬT TỰ XÃ HỘI</t>
  </si>
  <si>
    <t>206 nhà A, Đội Nhân, Vĩnh Phúc, Ba Đình, Hà Nội</t>
  </si>
  <si>
    <t>Aptech Computer Education</t>
  </si>
  <si>
    <t>Software Engineering</t>
  </si>
  <si>
    <t>8575502377</t>
  </si>
  <si>
    <t>0112102769</t>
  </si>
  <si>
    <t>89G1-01154</t>
  </si>
  <si>
    <t>Vợ: Đoàn Hương Giang(1986), Con gái: Vũ Giang Nhi(2015), Con trai: Vũ Duy Khánh(2017)</t>
  </si>
  <si>
    <t>18-21</t>
  </si>
  <si>
    <t>0451000216545</t>
  </si>
  <si>
    <t>Đoàn Hương Giang</t>
  </si>
  <si>
    <t>0983860311</t>
  </si>
  <si>
    <t>Vợ</t>
  </si>
  <si>
    <t>Moderna - 12/08/2021</t>
  </si>
  <si>
    <t>Nguyễn Ngọc Quang</t>
  </si>
  <si>
    <t>quang-nn1</t>
  </si>
  <si>
    <t>quang-nn1@hipt.vn</t>
  </si>
  <si>
    <t>Đã tiêm mũi 2</t>
  </si>
  <si>
    <t>Phạm Gia Anh Thư</t>
  </si>
  <si>
    <t>thu-pga</t>
  </si>
  <si>
    <t>thu-pga@hipt.vn</t>
  </si>
  <si>
    <t>Nguyễn Kiêm Thắng</t>
  </si>
  <si>
    <t>thang-nk</t>
  </si>
  <si>
    <t>thang-nk@hipt.vn</t>
  </si>
  <si>
    <t>Đã tiêm mũi 3</t>
  </si>
  <si>
    <t>Trần Hữu Tuệ</t>
  </si>
  <si>
    <t>tue-th</t>
  </si>
  <si>
    <t>tue-th@hipt.vn</t>
  </si>
  <si>
    <t>Nguyễn Thế Giáp</t>
  </si>
  <si>
    <t>giap-nt</t>
  </si>
  <si>
    <t>giap-nt@hipt.vn</t>
  </si>
  <si>
    <t>Nguyễn Ngọc Quý</t>
  </si>
  <si>
    <t>quy-nn</t>
  </si>
  <si>
    <t>quy-nn@hipt.vn</t>
  </si>
  <si>
    <t>Trương Phúc Giang</t>
  </si>
  <si>
    <t>giang-tp</t>
  </si>
  <si>
    <t>giang-tp@hipt.vn</t>
  </si>
  <si>
    <t>Business</t>
  </si>
  <si>
    <t>Lê Văn Dương</t>
  </si>
  <si>
    <t>duong-lv</t>
  </si>
  <si>
    <t>duong-lv@hipt.vn</t>
  </si>
  <si>
    <t>Nguyễn Thị Thu Hiền</t>
  </si>
  <si>
    <t>hien-ntt</t>
  </si>
  <si>
    <t>hien-ntt@hipt.vn</t>
  </si>
  <si>
    <t>Lê Minh Hải</t>
  </si>
  <si>
    <t>hai-lm</t>
  </si>
  <si>
    <t>hai-lm@hipt.vn</t>
  </si>
  <si>
    <t>Trần Đức Duy</t>
  </si>
  <si>
    <t>duy-td</t>
  </si>
  <si>
    <t>duy-td@hipt.vn</t>
  </si>
  <si>
    <t>Trần Thị Thu Phương</t>
  </si>
  <si>
    <t>phuong-ttt</t>
  </si>
  <si>
    <t>phuong-ttt@hipt.vn</t>
  </si>
  <si>
    <t>Tin học</t>
  </si>
  <si>
    <t>Phạm Thị Thủy</t>
  </si>
  <si>
    <t>thuy-pt</t>
  </si>
  <si>
    <t>thuy-pt@hipt.vn</t>
  </si>
  <si>
    <t>Đỗ Hải Phúc</t>
  </si>
  <si>
    <t>phuc-dh</t>
  </si>
  <si>
    <t>phuc-dh@hipt.vn</t>
  </si>
  <si>
    <t>Vũ Trọng Tân</t>
  </si>
  <si>
    <t>tan-vt</t>
  </si>
  <si>
    <t>tan-vt@hipt.vn</t>
  </si>
  <si>
    <t>Nguyễn Thị Hồng Ngọc</t>
  </si>
  <si>
    <t>ngoc-nth</t>
  </si>
  <si>
    <t>ngoc-nth@hipt.vn</t>
  </si>
  <si>
    <t>Bùi Quang Sơn</t>
  </si>
  <si>
    <t>son-bq</t>
  </si>
  <si>
    <t>son-bq@hipt.vn</t>
  </si>
  <si>
    <t>Nguyễn Văn Dũng</t>
  </si>
  <si>
    <t>dung-nv</t>
  </si>
  <si>
    <t>dung-nv@hipt.vn</t>
  </si>
  <si>
    <t>Cao Anh Đức</t>
  </si>
  <si>
    <t>duc-ca</t>
  </si>
  <si>
    <t>duc-ca@hipt.vn</t>
  </si>
  <si>
    <t>Phạm Văn Sơn</t>
  </si>
  <si>
    <t>son-pv</t>
  </si>
  <si>
    <t>son-pv@hipt.vn</t>
  </si>
  <si>
    <t>Ngô Toàn Thắng</t>
  </si>
  <si>
    <t>thang-nt</t>
  </si>
  <si>
    <t>thang-nt@hipt.vn</t>
  </si>
  <si>
    <t>Đỗ Mạnh Cường</t>
  </si>
  <si>
    <t>cuong-dm</t>
  </si>
  <si>
    <t>cuong-dm@hipt.vn</t>
  </si>
  <si>
    <t>Đỗ Hoàng Anh</t>
  </si>
  <si>
    <t>anh-dh1</t>
  </si>
  <si>
    <t>anh-dh1@hipt.vn</t>
  </si>
  <si>
    <t>Hà Minh Vũ</t>
  </si>
  <si>
    <t>vu-hm</t>
  </si>
  <si>
    <t>vu-hm@hipt.vn</t>
  </si>
  <si>
    <t>Nguyễn Minh Châu</t>
  </si>
  <si>
    <t>chau-nm</t>
  </si>
  <si>
    <t>chau-nm@hipt.vn</t>
  </si>
  <si>
    <t>Vũ Ngọc Khánh</t>
  </si>
  <si>
    <t>khanh-vn</t>
  </si>
  <si>
    <t>khanh-vn@hipt.vn</t>
  </si>
  <si>
    <t>Trịnh Thanh Hải</t>
  </si>
  <si>
    <t>hai-tt</t>
  </si>
  <si>
    <t>hai-tt@hipt.vn</t>
  </si>
  <si>
    <t>Phạm Quốc Vượng</t>
  </si>
  <si>
    <t>vuong-pq</t>
  </si>
  <si>
    <t>vuong-pq@hipt.vn</t>
  </si>
  <si>
    <t>Nguyễn Tiến Hưng</t>
  </si>
  <si>
    <t>hung-nt1</t>
  </si>
  <si>
    <t>hung-nt1@hipt.vn</t>
  </si>
  <si>
    <t>Lê Việt Dũng</t>
  </si>
  <si>
    <t>dungsc-lv</t>
  </si>
  <si>
    <t>dungsc-lv@hipt.vn</t>
  </si>
  <si>
    <t>Nguyễn Trần Thành</t>
  </si>
  <si>
    <t>thanh-nt</t>
  </si>
  <si>
    <t>thanh-nt@hipt.vn</t>
  </si>
  <si>
    <t>Từ Thụy Bích Trâm</t>
  </si>
  <si>
    <t>tram-ttb</t>
  </si>
  <si>
    <t>tram-ttb@hipt.vn</t>
  </si>
  <si>
    <t>Dương Thị Thúy</t>
  </si>
  <si>
    <t>thuy-dt</t>
  </si>
  <si>
    <t>thuy-dt@hipt.vn</t>
  </si>
  <si>
    <t>Phạm Tú Anh</t>
  </si>
  <si>
    <t>anh-pt</t>
  </si>
  <si>
    <t>anh-pt@hipt.vn</t>
  </si>
  <si>
    <t>Trần Trung Dũng</t>
  </si>
  <si>
    <t>dung-tt</t>
  </si>
  <si>
    <t>dung-tt@hipt.vn</t>
  </si>
  <si>
    <t>Phan Đăng Đạt</t>
  </si>
  <si>
    <t>dat-pd</t>
  </si>
  <si>
    <t>dat-pd@hipt.vn</t>
  </si>
  <si>
    <t>Võ Văn Mai</t>
  </si>
  <si>
    <t>mai-vv</t>
  </si>
  <si>
    <t>mai-vv@hipt.vn</t>
  </si>
  <si>
    <t>Lưu Anh Đức</t>
  </si>
  <si>
    <t>duc-la</t>
  </si>
  <si>
    <t>duc-la@hipt.vn</t>
  </si>
  <si>
    <t>Đồng Thanh Vũ</t>
  </si>
  <si>
    <t>vu-dt</t>
  </si>
  <si>
    <t>vu-dt@hipt.vn</t>
  </si>
  <si>
    <t>Nguyễn Vũ Hồng Minh</t>
  </si>
  <si>
    <t>minh-nvh</t>
  </si>
  <si>
    <t>minh-nvh@hipt.vn</t>
  </si>
  <si>
    <t>Đặng Thị Thanh Huyền</t>
  </si>
  <si>
    <t>huyen-dtt</t>
  </si>
  <si>
    <t>huyen-dtt@hipt.vn</t>
  </si>
  <si>
    <t>Nguyễn Thị Tuyến</t>
  </si>
  <si>
    <t>tuyen-nt</t>
  </si>
  <si>
    <t>tuyen-nt@hipt.vn</t>
  </si>
  <si>
    <t>Võ Thị Hà</t>
  </si>
  <si>
    <t>ha-vt</t>
  </si>
  <si>
    <t>ha-vt@hipt.vn</t>
  </si>
  <si>
    <t>Bùi Thị Thu Trang</t>
  </si>
  <si>
    <t>trang-btt</t>
  </si>
  <si>
    <t>trang-btt@hipt.vn</t>
  </si>
  <si>
    <t>Phạm Thị Minh Ngọc</t>
  </si>
  <si>
    <t>ngoc-ptm</t>
  </si>
  <si>
    <t>ngoc-ptm@hipt.vn</t>
  </si>
  <si>
    <t>Trần Thị Phương Chi</t>
  </si>
  <si>
    <t>chi-ttp</t>
  </si>
  <si>
    <t>chi-ttp@hipt.vn</t>
  </si>
  <si>
    <t>Nguyễn Thị Thúy</t>
  </si>
  <si>
    <t>thuy-nt</t>
  </si>
  <si>
    <t>thuy-nt@hipt.vn</t>
  </si>
  <si>
    <t>Hoàng Thanh Tú</t>
  </si>
  <si>
    <t>tu-ht</t>
  </si>
  <si>
    <t>tu-ht@hipt.vn</t>
  </si>
  <si>
    <t>Trần Thị Thu Hà</t>
  </si>
  <si>
    <t>ha-ttt</t>
  </si>
  <si>
    <t>ha-ttt@hipt.vn</t>
  </si>
  <si>
    <t>Đào Thị Hồng Hạnh</t>
  </si>
  <si>
    <t>hanh-dth</t>
  </si>
  <si>
    <t>hanh-dth@hipt.vn</t>
  </si>
  <si>
    <t>Trần Thị Hồng Hà</t>
  </si>
  <si>
    <t>ha-tth</t>
  </si>
  <si>
    <t>ha-tth@hipt.vn</t>
  </si>
  <si>
    <t>Hoàng Hoài Phương</t>
  </si>
  <si>
    <t>phuong-hh</t>
  </si>
  <si>
    <t>phuong-hh@hipt.vn</t>
  </si>
  <si>
    <t>Mẹ ruột</t>
  </si>
  <si>
    <t>Nguyễn Đức Hưng</t>
  </si>
  <si>
    <t>hung-nd</t>
  </si>
  <si>
    <t>hung-nd@hipt.vn</t>
  </si>
  <si>
    <t>Nguyễn Thị Vương Hòa</t>
  </si>
  <si>
    <t>hoa-ntv</t>
  </si>
  <si>
    <t>hoa-ntv@hipt.vn</t>
  </si>
  <si>
    <t>Nguyễn Thị Thủy</t>
  </si>
  <si>
    <t>thuy-nt1</t>
  </si>
  <si>
    <t>thuy-nt1@hipt.vn</t>
  </si>
  <si>
    <t>Nguyễn Thị Tiền</t>
  </si>
  <si>
    <t>tien-nt</t>
  </si>
  <si>
    <t>tien-nt@hipt.vn</t>
  </si>
  <si>
    <t>Vũ Văn Cường</t>
  </si>
  <si>
    <t>cuong-vv</t>
  </si>
  <si>
    <t>cuong-vv@hipt.vn</t>
  </si>
  <si>
    <t>Nguyễn Minh Nam</t>
  </si>
  <si>
    <t>nam-nm</t>
  </si>
  <si>
    <t>nam-nm@hipt.vn</t>
  </si>
  <si>
    <t>Trần Quang Huy</t>
  </si>
  <si>
    <t>huy-tq</t>
  </si>
  <si>
    <t>huy-tq@hipt.vn</t>
  </si>
  <si>
    <t>Lê Ngọc Hoàng</t>
  </si>
  <si>
    <t>hoang-ln</t>
  </si>
  <si>
    <t>hoang-ln@hipt.vn</t>
  </si>
  <si>
    <t>Lê Mạnh Toàn</t>
  </si>
  <si>
    <t>toan-lm</t>
  </si>
  <si>
    <t>toan-lm@hipt.vn</t>
  </si>
  <si>
    <t>Lê Hải Đoàn</t>
  </si>
  <si>
    <t>doan-lh</t>
  </si>
  <si>
    <t>doan-lh@hipt.vn</t>
  </si>
  <si>
    <t>Trần Ngọc Lê</t>
  </si>
  <si>
    <t>le-tn</t>
  </si>
  <si>
    <t>le-tn@hipt.vn</t>
  </si>
  <si>
    <t>Nguyễn Văn Trung</t>
  </si>
  <si>
    <t>trung-nv</t>
  </si>
  <si>
    <t>trung-nv@hipt.vn</t>
  </si>
  <si>
    <t>Nguyễn Thanh Bình</t>
  </si>
  <si>
    <t>binh-nt2</t>
  </si>
  <si>
    <t>binh-nt2@hipt.vn</t>
  </si>
  <si>
    <t>Lưu Ngọc Linh</t>
  </si>
  <si>
    <t>linh-ln</t>
  </si>
  <si>
    <t>linh-ln@hipt.vn</t>
  </si>
  <si>
    <t>Trương Thị Xen</t>
  </si>
  <si>
    <t>xen-tt</t>
  </si>
  <si>
    <t>xen-tt@hipt.vn</t>
  </si>
  <si>
    <t>Nguyễn Văn Long</t>
  </si>
  <si>
    <t>long-nv</t>
  </si>
  <si>
    <t>long-nv@hipt.vn</t>
  </si>
  <si>
    <t>Nguyễn Hải Yến</t>
  </si>
  <si>
    <t>yen-nh</t>
  </si>
  <si>
    <t>yen-nh@hipt.vn</t>
  </si>
  <si>
    <t>Nguyễn Công Chính</t>
  </si>
  <si>
    <t>chinh-nc</t>
  </si>
  <si>
    <t>chinh-nc@hipt.vn</t>
  </si>
  <si>
    <t>Đặng Thị Châu Giang</t>
  </si>
  <si>
    <t>giang-dtc</t>
  </si>
  <si>
    <t>giang-dtt@hipt.vn</t>
  </si>
  <si>
    <t>Lương Văn Doanh</t>
  </si>
  <si>
    <t>doanh-lv</t>
  </si>
  <si>
    <t>doanh-lv@hipt.vn</t>
  </si>
  <si>
    <t>Nguyễn Thanh Tuấn</t>
  </si>
  <si>
    <t>tuan-nt</t>
  </si>
  <si>
    <t>tuan-nt@hipt.vn</t>
  </si>
  <si>
    <t>Nguyễn Minh Anh</t>
  </si>
  <si>
    <t>Đỗ Thị Sinh Sắc</t>
  </si>
  <si>
    <t>sac-dts</t>
  </si>
  <si>
    <t>sac-dts@hipt.vn</t>
  </si>
  <si>
    <t>Trần Việt Tú</t>
  </si>
  <si>
    <t>tu-tv</t>
  </si>
  <si>
    <t>tu-tv@hipt.vn</t>
  </si>
  <si>
    <t>Nguyễn Thị Hà</t>
  </si>
  <si>
    <t>Phan Giang Nam</t>
  </si>
  <si>
    <t>nam-pg</t>
  </si>
  <si>
    <t>nam-pg@hipt.vn</t>
  </si>
  <si>
    <t>Nguyễn Thanh Hải</t>
  </si>
  <si>
    <t>hai-nt</t>
  </si>
  <si>
    <t>hai-nt@hipt.vn</t>
  </si>
  <si>
    <t>Hoàng Thanh Phúc</t>
  </si>
  <si>
    <t>phuc-ht</t>
  </si>
  <si>
    <t>phuc-ht@hipt.vn</t>
  </si>
  <si>
    <t>Trần Thanh Tuấn</t>
  </si>
  <si>
    <t>tuan-tt</t>
  </si>
  <si>
    <t>tuan-tt@hipt.vn</t>
  </si>
  <si>
    <t>Nguyễn Thị Mai</t>
  </si>
  <si>
    <t>mai-nt</t>
  </si>
  <si>
    <t>mai-nt@hipt.vn</t>
  </si>
  <si>
    <t>Trịnh Thị Thắm</t>
  </si>
  <si>
    <t>tham-tt</t>
  </si>
  <si>
    <t>tham-tt@hipt.vn</t>
  </si>
  <si>
    <t>Đoàn Văn Thảo</t>
  </si>
  <si>
    <t>thao-dv</t>
  </si>
  <si>
    <t>thao-dv@hipt.vn</t>
  </si>
  <si>
    <t>quang-nn</t>
  </si>
  <si>
    <t>quang-nn@hipt.vn</t>
  </si>
  <si>
    <t>Lê Thị Hồng Phượng</t>
  </si>
  <si>
    <t>phuong-lth</t>
  </si>
  <si>
    <t>phuong-lth@hipt.vn</t>
  </si>
  <si>
    <t>Đoàn Thị Nhung</t>
  </si>
  <si>
    <t>nhung-dt</t>
  </si>
  <si>
    <t>nhung-dt@hipt.vn</t>
  </si>
  <si>
    <t>Dương Việt Hà</t>
  </si>
  <si>
    <t>ha-dv</t>
  </si>
  <si>
    <t>ha-dv@hipt.vn</t>
  </si>
  <si>
    <t>Trương Trọng Tuấn</t>
  </si>
  <si>
    <t>tuan-tt1</t>
  </si>
  <si>
    <t>tuan-tt1@hipt.vn</t>
  </si>
  <si>
    <t>Lê Thị Thu Hải</t>
  </si>
  <si>
    <t>hai-ltt</t>
  </si>
  <si>
    <t>hai-ltt@hipt.vn</t>
  </si>
  <si>
    <t>Nguyễn Đình Nam</t>
  </si>
  <si>
    <t>nam-nd</t>
  </si>
  <si>
    <t>nam-nd@hipt.vn</t>
  </si>
  <si>
    <t>Nguyễn Tuấn Dương</t>
  </si>
  <si>
    <t>admin</t>
  </si>
  <si>
    <t>duong-nt@hipt.vn</t>
  </si>
  <si>
    <t>Cục cảnh sát QLHC về TTXH</t>
  </si>
  <si>
    <t>Nguyễn Mạnh Tuấn</t>
  </si>
  <si>
    <t>tuan-nm</t>
  </si>
  <si>
    <t>tuan-nm@hipt.vn</t>
  </si>
  <si>
    <t>Lê Thùy Dung</t>
  </si>
  <si>
    <t>dung-lt</t>
  </si>
  <si>
    <t>dung-lt@hipt.vn</t>
  </si>
  <si>
    <t>Nguyễn Tiến Dũng</t>
  </si>
  <si>
    <t>dung-nt3</t>
  </si>
  <si>
    <t>dung-nt3@hipt.vn</t>
  </si>
  <si>
    <t>Phan Hoàng Việt</t>
  </si>
  <si>
    <t>viet-ph</t>
  </si>
  <si>
    <t>viet-ph@hipt.vn</t>
  </si>
  <si>
    <t>Nguyễn Thu Trang</t>
  </si>
  <si>
    <t>trang-nt</t>
  </si>
  <si>
    <t>trang-nt@hipt.vn</t>
  </si>
  <si>
    <t>Trần Thị Linh Hằng</t>
  </si>
  <si>
    <t>hang-ttl</t>
  </si>
  <si>
    <t>hang-ttl@hipt.vn</t>
  </si>
  <si>
    <t>ha-nt</t>
  </si>
  <si>
    <t>ha-nt@hipt.vn</t>
  </si>
  <si>
    <t>Ngô Trung Kiên</t>
  </si>
  <si>
    <t>Nguyễn Mỹ Linh</t>
  </si>
  <si>
    <t>linh-nm</t>
  </si>
  <si>
    <t>linh-nm@hipt.vn</t>
  </si>
  <si>
    <t>Mai Thanh Trúc</t>
  </si>
  <si>
    <t>truc-mt</t>
  </si>
  <si>
    <t>truc-mt@hipt.vn</t>
  </si>
  <si>
    <t>Võ Hoài Châu</t>
  </si>
  <si>
    <t>chau-vh</t>
  </si>
  <si>
    <t>chau-vh@hipt.vn</t>
  </si>
  <si>
    <t>Nguyễn Hà Ninh</t>
  </si>
  <si>
    <t>ninh-nh</t>
  </si>
  <si>
    <t>ninh-nh@hipt.vn</t>
  </si>
  <si>
    <t>Nguyễn Cẩm Long</t>
  </si>
  <si>
    <t>long-nc</t>
  </si>
  <si>
    <t>long-nc@hipt.vn</t>
  </si>
  <si>
    <t>Nguyễn Thanh Hương</t>
  </si>
  <si>
    <t>huong-nt</t>
  </si>
  <si>
    <t>huong-nt@hipt.vn</t>
  </si>
  <si>
    <t>Mai Nhật Tân</t>
  </si>
  <si>
    <t>tan-mn</t>
  </si>
  <si>
    <t>tan-mn@hipt.vn</t>
  </si>
  <si>
    <t>Đoàn Trường Giang</t>
  </si>
  <si>
    <t>giang-dt</t>
  </si>
  <si>
    <t>giang-dt@hipt.vn</t>
  </si>
  <si>
    <t>Đỗ Hồng Minh</t>
  </si>
  <si>
    <t>minh-dh</t>
  </si>
  <si>
    <t>minh-dh@hipt.vn</t>
  </si>
  <si>
    <t>Lâm Bảo Vương</t>
  </si>
  <si>
    <t>vuong-lb</t>
  </si>
  <si>
    <t>vuong-lb@hipt.vn</t>
  </si>
  <si>
    <t>Hoàng Văn Ninh</t>
  </si>
  <si>
    <t>ninh-hv</t>
  </si>
  <si>
    <t>ninh-hv@hipt.vn</t>
  </si>
  <si>
    <t>Nguyễn Bá Sơn</t>
  </si>
  <si>
    <t>son-nb</t>
  </si>
  <si>
    <t>son-nb@hipt.vn</t>
  </si>
  <si>
    <t>Đặng Thị Thùy Linh</t>
  </si>
  <si>
    <t>linh-dtt</t>
  </si>
  <si>
    <t>linh-dtt@hipt.vn</t>
  </si>
  <si>
    <t>Nguyễn Trần Hiền</t>
  </si>
  <si>
    <t>hien-nt</t>
  </si>
  <si>
    <t>hien-nt@hipt.vn</t>
  </si>
  <si>
    <t>Lê Thị Thu Trang</t>
  </si>
  <si>
    <t>Phạm Thị Thu Hà</t>
  </si>
  <si>
    <t>ha-ptt</t>
  </si>
  <si>
    <t>ha-ptt@hipt.vn</t>
  </si>
  <si>
    <t xml:space="preserve">Lưu Tuấn Anh </t>
  </si>
  <si>
    <t>anh-lt</t>
  </si>
  <si>
    <t>anh-lt@hipt.vn</t>
  </si>
  <si>
    <t>Trần Xuân Phúc</t>
  </si>
  <si>
    <t>phuc-tx</t>
  </si>
  <si>
    <t>phuc-tx@hipt.vn</t>
  </si>
  <si>
    <t>Lữ Thanh Liêm</t>
  </si>
  <si>
    <t>liem-lt</t>
  </si>
  <si>
    <t>liem-lt@hipt.vn</t>
  </si>
  <si>
    <t>Nguyễn Nhật Nam</t>
  </si>
  <si>
    <t>nam-nn</t>
  </si>
  <si>
    <t>nam-nn@hipt.vn</t>
  </si>
  <si>
    <t>Hoàng Đặng Ngọc</t>
  </si>
  <si>
    <t>ngoc-hd</t>
  </si>
  <si>
    <t>ngoc-hd@hipt.vn</t>
  </si>
  <si>
    <t>Nguyễn Vinh Hoàng Việt</t>
  </si>
  <si>
    <t>viet-nvh</t>
  </si>
  <si>
    <t>viet-nvh@hipt.vn</t>
  </si>
  <si>
    <t>Đỗ Hoài Bắc</t>
  </si>
  <si>
    <t>bac-dh</t>
  </si>
  <si>
    <t>bac-dh@hipt.vn</t>
  </si>
  <si>
    <t>Nguyễn Thị Thanh Hương</t>
  </si>
  <si>
    <t>huong-ntt</t>
  </si>
  <si>
    <t>huong-ntt@hipt.vn</t>
  </si>
  <si>
    <t>Nguyễn Trường San</t>
  </si>
  <si>
    <t>san-nt</t>
  </si>
  <si>
    <t>san-nt@hipt.vn</t>
  </si>
  <si>
    <t>Nguyễn Thị Phương Anh</t>
  </si>
  <si>
    <t>anh-np</t>
  </si>
  <si>
    <t>anh-np@hipt.vn</t>
  </si>
  <si>
    <t>Hoàng Minh Đức</t>
  </si>
  <si>
    <t>duc-hm</t>
  </si>
  <si>
    <t>duc-hm@hipt.vn</t>
  </si>
  <si>
    <t>Trần Thanh Quang</t>
  </si>
  <si>
    <t>quang-tt</t>
  </si>
  <si>
    <t>quang-tt@hipt.vn</t>
  </si>
  <si>
    <t>kien-nt</t>
  </si>
  <si>
    <t>kien-nt@hipt.vn</t>
  </si>
  <si>
    <t>Cao Thanh Bình</t>
  </si>
  <si>
    <t>binh-ct</t>
  </si>
  <si>
    <t>binh-ct@hipt.vn</t>
  </si>
  <si>
    <t>Nguyễn Ngọc Tùng</t>
  </si>
  <si>
    <t>tung-nn</t>
  </si>
  <si>
    <t>tung-nn@hipt.vn</t>
  </si>
  <si>
    <t>Đinh Văn Lực</t>
  </si>
  <si>
    <t>luc-dv</t>
  </si>
  <si>
    <t>luc-dv@hipt.vn</t>
  </si>
  <si>
    <t>Ngô Thị Diễm Châu</t>
  </si>
  <si>
    <t>chau-ntd</t>
  </si>
  <si>
    <t>chau-ntd@hipt.vn</t>
  </si>
  <si>
    <t>anh-nm</t>
  </si>
  <si>
    <t>anh-nm@hipt.vn</t>
  </si>
  <si>
    <t>Đỗ Đức Thịnh</t>
  </si>
  <si>
    <t>thinh-dd</t>
  </si>
  <si>
    <t>thinh-dd@hipt.vn</t>
  </si>
  <si>
    <t>Nguyễn Thế Anh</t>
  </si>
  <si>
    <t>anhsc-nt</t>
  </si>
  <si>
    <t>anhsc-nt@hipt.vn</t>
  </si>
  <si>
    <t>Phạm Thu Giang</t>
  </si>
  <si>
    <t>giang-pt</t>
  </si>
  <si>
    <t>giang-pt@hipt.vn</t>
  </si>
  <si>
    <t>Ngô Thị Kim Ngân</t>
  </si>
  <si>
    <t>ngan-ntk</t>
  </si>
  <si>
    <t>ngan-ntk@hipt.vn</t>
  </si>
  <si>
    <t>Lái xe Công Bình</t>
  </si>
  <si>
    <t>laixecongty</t>
  </si>
  <si>
    <t>laixecongty@hipt.com.vn</t>
  </si>
  <si>
    <t>Nguyễn Xuân Thịnh</t>
  </si>
  <si>
    <t>thinh-nx</t>
  </si>
  <si>
    <t>thinh-nx@hipt.vn</t>
  </si>
  <si>
    <t>Phạm Thị Tuyến</t>
  </si>
  <si>
    <t>tuyen-pt</t>
  </si>
  <si>
    <t>tuyen-pt@hipt.vn</t>
  </si>
  <si>
    <t>Lê Quí Cường</t>
  </si>
  <si>
    <t>cuong-lq</t>
  </si>
  <si>
    <t>cuong-lq@hipt.vn</t>
  </si>
  <si>
    <t>Bùi Hồng Nhung</t>
  </si>
  <si>
    <t>nhung-bh</t>
  </si>
  <si>
    <t>nhung-bh@hipt.vn</t>
  </si>
  <si>
    <t>Nguyễn Hoàng Vũ</t>
  </si>
  <si>
    <t>vu-nh</t>
  </si>
  <si>
    <t>vu-nh@hipt.vn</t>
  </si>
  <si>
    <t>Phạm Việt Hùng</t>
  </si>
  <si>
    <t>hung-pv</t>
  </si>
  <si>
    <t>hung-pv@hipt.vn</t>
  </si>
  <si>
    <t>Nguyễn Thị Tú Anh</t>
  </si>
  <si>
    <t>anh-ntt</t>
  </si>
  <si>
    <t>anh-ntt@hipt.vn</t>
  </si>
  <si>
    <t>Đào Anh Nguyên</t>
  </si>
  <si>
    <t>nguyen-da</t>
  </si>
  <si>
    <t>nguyen-da@hipt.vn</t>
  </si>
  <si>
    <t>Trần Khánh Linh</t>
  </si>
  <si>
    <t>linh-tk</t>
  </si>
  <si>
    <t>linh-tk@hipt.vn</t>
  </si>
  <si>
    <t>Trương Thị Hương</t>
  </si>
  <si>
    <t>huong-tt</t>
  </si>
  <si>
    <t>huong-tt@hipt.vn</t>
  </si>
  <si>
    <t>Nguyễn Quốc Hoàng</t>
  </si>
  <si>
    <t>Phạm Phương Thảo</t>
  </si>
  <si>
    <t>thao-pp</t>
  </si>
  <si>
    <t>thao-pp@hipt.vn</t>
  </si>
  <si>
    <t>trang-ltt</t>
  </si>
  <si>
    <t>trang-ltt@hipt.vn</t>
  </si>
  <si>
    <t>Nguyễn Hoàng Quốc Anh</t>
  </si>
  <si>
    <t>anh-nhq</t>
  </si>
  <si>
    <t>anh-nhq@hipt.com.vn</t>
  </si>
  <si>
    <t>Phạm Văn Tiến</t>
  </si>
  <si>
    <t>tien-pv</t>
  </si>
  <si>
    <t>13EC5C2659AFE0358111929B298ADF83</t>
  </si>
  <si>
    <t>tien-pv@hipt.vn</t>
  </si>
  <si>
    <t>0879488111</t>
  </si>
  <si>
    <t>001081052631</t>
  </si>
  <si>
    <t>Cao Cương, Đông Quang, Ba Vì, Hà Nội</t>
  </si>
  <si>
    <t>Số 5/20 Đường Mỹ Đình,P.Mỹ Đình 2,Q. Nam Từ Liêm, Hà Nội</t>
  </si>
  <si>
    <t>Cao đẳng Công nghiệp Hà Nội</t>
  </si>
  <si>
    <t>8011677736</t>
  </si>
  <si>
    <t>0110040752</t>
  </si>
  <si>
    <t>29-V1-10759</t>
  </si>
  <si>
    <t>Vợ: Nguyễn Thị Lân - 1984; Con: Phạm Nguyễn Bảo Nguyên - 2011; Phạm Mình Khang - 2020</t>
  </si>
  <si>
    <t>07-19</t>
  </si>
  <si>
    <t>0541000235098</t>
  </si>
  <si>
    <t>Nguyễn Thị Lân</t>
  </si>
  <si>
    <t>0982631050</t>
  </si>
  <si>
    <t>Moderna 12/08/2021</t>
  </si>
  <si>
    <t>Đậu Thị Thùy</t>
  </si>
  <si>
    <t>thuy-dt1</t>
  </si>
  <si>
    <t>thuy-dt1@hipt.vn</t>
  </si>
  <si>
    <t>Nguyễn Cao Cường</t>
  </si>
  <si>
    <t>cuong-nc</t>
  </si>
  <si>
    <t>cuong-nc@hipt.vn</t>
  </si>
  <si>
    <t>Dương Thị Nguyệt</t>
  </si>
  <si>
    <t>nguyet-dt</t>
  </si>
  <si>
    <t>nguyet-dt@hipt.vn</t>
  </si>
  <si>
    <t>Bùi Minh Nguyệt</t>
  </si>
  <si>
    <t>nguyet-bm</t>
  </si>
  <si>
    <t>nguyet-bm@hipt.vn</t>
  </si>
  <si>
    <t>Lê Hải Anh</t>
  </si>
  <si>
    <t>anh-lh</t>
  </si>
  <si>
    <t>anh-lh@hipt.vn</t>
  </si>
  <si>
    <t xml:space="preserve">Dương Bá Thành </t>
  </si>
  <si>
    <t>thanh-db</t>
  </si>
  <si>
    <t>thanh-db@hipt.vn</t>
  </si>
  <si>
    <t>Nguyễn Thiên An</t>
  </si>
  <si>
    <t>an-nt</t>
  </si>
  <si>
    <t>an-nt@hipt.vn</t>
  </si>
  <si>
    <t>Đỗ Hoài Anh</t>
  </si>
  <si>
    <t>anh-dh</t>
  </si>
  <si>
    <t>anh-dh@hipt.vn</t>
  </si>
  <si>
    <t>Trần Hoài Ân</t>
  </si>
  <si>
    <t>an-th</t>
  </si>
  <si>
    <t>an-th@hipt.vn</t>
  </si>
  <si>
    <t>Nguyễn Quang Thắng</t>
  </si>
  <si>
    <t>thang-nq</t>
  </si>
  <si>
    <t>thang-nq@hipt.vn</t>
  </si>
  <si>
    <t>Bùi Diệu Ly</t>
  </si>
  <si>
    <t>ly-bd</t>
  </si>
  <si>
    <t>ly-bd@hipt.vn</t>
  </si>
  <si>
    <t>Phan Khánh Ngân</t>
  </si>
  <si>
    <t>ngan-pk</t>
  </si>
  <si>
    <t>ngan-pk@hipt.vn</t>
  </si>
  <si>
    <t>Nguyễn Trọng Tú</t>
  </si>
  <si>
    <t>tu-nt</t>
  </si>
  <si>
    <t>tu-nt@hipt.vn</t>
  </si>
  <si>
    <t>Ngô Thị Bích Trâm</t>
  </si>
  <si>
    <t>tram-ntb</t>
  </si>
  <si>
    <t>tram-ntb@hipt.vn</t>
  </si>
  <si>
    <t>Nguyễn Văn Sao</t>
  </si>
  <si>
    <t>sao-nv</t>
  </si>
  <si>
    <t>sao-nv@hipt.vn</t>
  </si>
  <si>
    <t>Phạm Nguyễn Cao Đằng</t>
  </si>
  <si>
    <t>dang-pnc</t>
  </si>
  <si>
    <t>dang-pnc@hipt.vn</t>
  </si>
  <si>
    <t>Phùng Ngọc Xuyến</t>
  </si>
  <si>
    <t>xuyen-pn</t>
  </si>
  <si>
    <t>xuyen-pn@hipt.vn</t>
  </si>
  <si>
    <t>Lê Vinh</t>
  </si>
  <si>
    <t>vinh-l</t>
  </si>
  <si>
    <t>vinh-l@hipt.vn</t>
  </si>
  <si>
    <t>Nguyễn Thị Nguyệt</t>
  </si>
  <si>
    <t>nguyet-nt</t>
  </si>
  <si>
    <t>nguyet-nt@hipt.vn</t>
  </si>
  <si>
    <t>Đỗ Thị Thảo</t>
  </si>
  <si>
    <t>thao-dt</t>
  </si>
  <si>
    <t>thao-dt@hipt.vn</t>
  </si>
  <si>
    <t>Dương Tuyết Ngân</t>
  </si>
  <si>
    <t>ngan-dt</t>
  </si>
  <si>
    <t>ngan-dt@hipt.vn</t>
  </si>
  <si>
    <t>Ngô Thành Quân</t>
  </si>
  <si>
    <t>quan-nt</t>
  </si>
  <si>
    <t>quan-nt@hipt.vn</t>
  </si>
  <si>
    <t>Nguyễn Tiến Nhân</t>
  </si>
  <si>
    <t>nhan-nt</t>
  </si>
  <si>
    <t>nhan-nt@hipt.vn</t>
  </si>
  <si>
    <t>Phan Đại Long</t>
  </si>
  <si>
    <t>long-p</t>
  </si>
  <si>
    <t>long-p@hipt.vn</t>
  </si>
  <si>
    <t>Lê Đình Hoàn</t>
  </si>
  <si>
    <t>hoan-ld</t>
  </si>
  <si>
    <t>hoan-ld@hipt.vn</t>
  </si>
  <si>
    <t>Dương Thị Oanh</t>
  </si>
  <si>
    <t>oanh-dt</t>
  </si>
  <si>
    <t>oanh-dt@hipt.vn</t>
  </si>
  <si>
    <t>Đào Thị Thanh Vân</t>
  </si>
  <si>
    <t>van-dtt</t>
  </si>
  <si>
    <t>van-dtt@hipt.vn</t>
  </si>
  <si>
    <t>Nguyễn Minh Trà</t>
  </si>
  <si>
    <t>tra-nm</t>
  </si>
  <si>
    <t>tra-nm@hipt.vn</t>
  </si>
  <si>
    <t>Lâm Phước Đông Triều</t>
  </si>
  <si>
    <t>trieu-lpd</t>
  </si>
  <si>
    <t>trieu-lpd@hipt.vn</t>
  </si>
  <si>
    <t>Trần Thị Thủy Trang</t>
  </si>
  <si>
    <t>trang-ttt</t>
  </si>
  <si>
    <t>trang-ttt@hipt.vn</t>
  </si>
  <si>
    <t>Nguyễn Đình Vũ</t>
  </si>
  <si>
    <t>vu-nd</t>
  </si>
  <si>
    <t>vu-nd@hipt.vn</t>
  </si>
  <si>
    <t>Lưu Triệu Khiêm</t>
  </si>
  <si>
    <t>khiem-lt</t>
  </si>
  <si>
    <t>khiem-lt@hipt.vn</t>
  </si>
  <si>
    <t>Nguyễn Lưu Khánh Linh</t>
  </si>
  <si>
    <t>linh-nlk</t>
  </si>
  <si>
    <t>linh-nlk@hipt.vn</t>
  </si>
  <si>
    <t>Nguyễn Thị Hải Vân</t>
  </si>
  <si>
    <t>van-nth</t>
  </si>
  <si>
    <t>van-nth@hipt.vn</t>
  </si>
  <si>
    <t>Admin</t>
  </si>
  <si>
    <t>admin_hc</t>
  </si>
  <si>
    <t>admin_hc@hipt.vn</t>
  </si>
  <si>
    <t>Trần Thị Phương Thảo</t>
  </si>
  <si>
    <t>thao-ttp</t>
  </si>
  <si>
    <t>thao-ttp@hipt.vn</t>
  </si>
  <si>
    <t>Lê Thành Kha</t>
  </si>
  <si>
    <t>kha-lt</t>
  </si>
  <si>
    <t>kha-lt@hipt.vn</t>
  </si>
  <si>
    <t xml:space="preserve">Đoàn Văn Hưng </t>
  </si>
  <si>
    <t>hung-dv</t>
  </si>
  <si>
    <t>hung-dv@hipt.vn</t>
  </si>
  <si>
    <t>Huỳnh Gia Huy</t>
  </si>
  <si>
    <t>huy-hg</t>
  </si>
  <si>
    <t>huy-hg@hipt.vn</t>
  </si>
  <si>
    <t>Nguyễn Văn Tuấn Anh</t>
  </si>
  <si>
    <t>anh-nvt</t>
  </si>
  <si>
    <t>anh-nvt@hipt.vn</t>
  </si>
  <si>
    <t>Nguyễn Thị Thư</t>
  </si>
  <si>
    <t>thu-nt</t>
  </si>
  <si>
    <t>thu-nt@hipt.vn</t>
  </si>
  <si>
    <t>Nguyễn Thị Thảo</t>
  </si>
  <si>
    <t>thao-nt</t>
  </si>
  <si>
    <t>thao-nt@hipt.vn</t>
  </si>
  <si>
    <t>dung-np2</t>
  </si>
  <si>
    <t>dung-np2@hipt.vn</t>
  </si>
  <si>
    <t>Mai Thế Bằng</t>
  </si>
  <si>
    <t>bang-mt</t>
  </si>
  <si>
    <t>08CF258B092FF678050E7C109E5DF8CB</t>
  </si>
  <si>
    <t>bang-mt@hipt.vn</t>
  </si>
  <si>
    <t>001094000796</t>
  </si>
  <si>
    <t>Số 369 Đường Thụy Phương, Bắc Từ Liêm, Hà Nội</t>
  </si>
  <si>
    <t>29L1-43645</t>
  </si>
  <si>
    <t>TDP Đại Đồng, Thụy Phương, Bắc Từ Liêm, Hà Nội</t>
  </si>
  <si>
    <t>Mai Thế Công</t>
  </si>
  <si>
    <t>0948801091</t>
  </si>
  <si>
    <t>Anh Trai</t>
  </si>
  <si>
    <t xml:space="preserve">03-01-2022 / AstraZeneca </t>
  </si>
  <si>
    <t>Trần Thị Thu Hoài</t>
  </si>
  <si>
    <t>hoai-ttt</t>
  </si>
  <si>
    <t>hoai-ttt@hipt.vn</t>
  </si>
  <si>
    <t>Hoàng Thị Yến</t>
  </si>
  <si>
    <t>yen-ht</t>
  </si>
  <si>
    <t>yen-ht@hipt.vn</t>
  </si>
  <si>
    <t>Đỗ Viết Toàn</t>
  </si>
  <si>
    <t>toan-dv</t>
  </si>
  <si>
    <t>toan-dv@hipt.vn</t>
  </si>
  <si>
    <t>Vũ Linh Chi</t>
  </si>
  <si>
    <t>chi-vl</t>
  </si>
  <si>
    <t>2533F598DF3A9C6F2FE3868C149E1953</t>
  </si>
  <si>
    <t>chi-vl@hipt.vn</t>
  </si>
  <si>
    <t>0946690499</t>
  </si>
  <si>
    <t>036300002565</t>
  </si>
  <si>
    <t>26/64/67 Thái Thịnh, phường Thịnh Quang, quận Đống Đa, Hà Nội</t>
  </si>
  <si>
    <t>Trường Đại học Kinh tế Quốc dân</t>
  </si>
  <si>
    <t>18B1-25886</t>
  </si>
  <si>
    <t>45Đ - ô 19, phường Hạ Long, TP. Nam Định, tỉnh Nam Định</t>
  </si>
  <si>
    <t>Kinh tế quốc tế (Đại học Kinh tế Quốc dân, 2025)</t>
  </si>
  <si>
    <t>Hoàng Thị Tố Nga</t>
  </si>
  <si>
    <t>0918951967</t>
  </si>
  <si>
    <t>AstraZeneca (15/9/2021, 14/11/2021, 31/3/2022</t>
  </si>
  <si>
    <t>Id</t>
  </si>
  <si>
    <t>Code</t>
  </si>
  <si>
    <t>Name</t>
  </si>
  <si>
    <t>5D950670-5A05-4BFB-828B-04DC17136530</t>
  </si>
  <si>
    <t>VĂN PHÒNG HỒ CHÍ MINH</t>
  </si>
  <si>
    <t>9CBA3840-9183-4802-B5E9-2F89F7752343</t>
  </si>
  <si>
    <t>CÔNG TY CỔ PHẦN HIPT DX</t>
  </si>
  <si>
    <t>866B6CE2-7648-4F19-B60D-A6F0BE163473</t>
  </si>
  <si>
    <t>CÔNG TY CỔ PHẦN HIPT</t>
  </si>
  <si>
    <t>CE470562-72FF-4F77-9A51-B59884E7784C</t>
  </si>
  <si>
    <t>CÔNG TY TNHH HIPT PHẦN MỀM</t>
  </si>
  <si>
    <t>E392E461-9855-456B-8619-FD982340BA15</t>
  </si>
  <si>
    <t>CÔNG TY CỔ PHẦN TẬP ĐOÀN HIPT</t>
  </si>
  <si>
    <t>COQUANBO_Id</t>
  </si>
  <si>
    <t>CFC445F0-9B10-4BD4-BB0D-0253B13EDE67</t>
  </si>
  <si>
    <t>PHÒNG TÀI CHÍNH</t>
  </si>
  <si>
    <t>FD76EBDF-3B23-44A2-B945-0C95252C9FA5</t>
  </si>
  <si>
    <t>PHÒNG KỸ THUẬT</t>
  </si>
  <si>
    <t>BFC918CA-B7A7-4535-9AB9-108B3338C846</t>
  </si>
  <si>
    <t>PHÒNG MUA HÀNG</t>
  </si>
  <si>
    <t>1F7800D9-CED1-45B0-805E-15BDEA4D7B28</t>
  </si>
  <si>
    <t>TRUNG TÂM KINH DOANH SÀI GÒN</t>
  </si>
  <si>
    <t>66E998E5-562B-4F67-A708-1A0944854255</t>
  </si>
  <si>
    <t>PHÒNG HỒ SƠ THẦU</t>
  </si>
  <si>
    <t>07D7B740-0915-4B9D-B337-2D6D7F080701</t>
  </si>
  <si>
    <t>CHI NHÁNH HỒ CHÍ MINH</t>
  </si>
  <si>
    <t>4212BC7E-B19C-495C-80A0-2DF257B655A9</t>
  </si>
  <si>
    <t>TRUNG TÂM MẠNG VÀ AN TOÀN THÔNG TIN</t>
  </si>
  <si>
    <t>677A3CB8-5FE5-47B8-B7B1-41ACDA0CA6AC</t>
  </si>
  <si>
    <t>PHÒNG KINH DOANH (SSS)</t>
  </si>
  <si>
    <t>4603B310-15AA-4D46-9FA1-4F58BDCC4690</t>
  </si>
  <si>
    <t>BAN GIÁM ĐỐC HIPT PHẦN MỀM</t>
  </si>
  <si>
    <t>0A1CCA25-B251-4AE1-B627-7560FA6DA932</t>
  </si>
  <si>
    <t>TRUNG TÂM KINH DOANH DOANH NGHIỆP</t>
  </si>
  <si>
    <t>4859789B-D629-49D6-9938-75A6FCC867AB</t>
  </si>
  <si>
    <t>TRUNG TÂM TƯ VẤN GIẢI PHÁP</t>
  </si>
  <si>
    <t>12F8EA75-8F27-464C-8E6E-79C9C14DA0BE</t>
  </si>
  <si>
    <t>TRUNG TÂM BẢO HÀNH</t>
  </si>
  <si>
    <t>7A4CC0D9-6D8C-46B8-8CF4-8268AB9F438A</t>
  </si>
  <si>
    <t>TRUNG TÂM KINH DOANH GOV</t>
  </si>
  <si>
    <t>103048EC-10F1-41D7-930D-9F1874360217</t>
  </si>
  <si>
    <t>NHÂN SỰ</t>
  </si>
  <si>
    <t>C6ED83F9-79ED-4FBB-B743-A4C37F35F46C</t>
  </si>
  <si>
    <t>PHÒNG TRIỂN KHAI</t>
  </si>
  <si>
    <t>A5E18F73-E008-4012-8406-ACF5EE1C8DC1</t>
  </si>
  <si>
    <t>PHÒNG KẾ TOÁN</t>
  </si>
  <si>
    <t>E9FA81A8-9C2D-406D-972B-AE46201B633E</t>
  </si>
  <si>
    <t>TRUNG TÂM TÍCH HỢP HỆ THỐNG</t>
  </si>
  <si>
    <t>5D1DE5B8-326D-41E3-AA4B-B49823D07A0A</t>
  </si>
  <si>
    <t>HÀNH CHÍNH</t>
  </si>
  <si>
    <t>CC2F826E-B7A1-416C-AE31-BE629347B52E</t>
  </si>
  <si>
    <t>TRỢ LÝ BAN TỔNG GIÁM ĐỐC</t>
  </si>
  <si>
    <t>B1B3C689-F8BC-444E-B5E3-BF5AEF3ADD41</t>
  </si>
  <si>
    <t>TRUNG TÂM KINH DOANH FSI</t>
  </si>
  <si>
    <t>AB7F6D00-FBFD-425C-9318-D042A69A241C</t>
  </si>
  <si>
    <t>PHÒNG HẠ TẦNG CNTT</t>
  </si>
  <si>
    <t>C23D2349-A8D3-4EAD-8CCA-E705BB3311D9</t>
  </si>
  <si>
    <t>BAN TỔNG GIÁM ĐỐC</t>
  </si>
  <si>
    <t>ID</t>
  </si>
  <si>
    <t>Họ Và Tên</t>
  </si>
  <si>
    <t>Tên Đăng Nhập</t>
  </si>
  <si>
    <t>Tài khoản</t>
  </si>
  <si>
    <t>UserName</t>
  </si>
  <si>
    <t>NormalizedUserName</t>
  </si>
  <si>
    <t>FullName</t>
  </si>
  <si>
    <t>Email</t>
  </si>
  <si>
    <t>Email2</t>
  </si>
  <si>
    <t>UserName2</t>
  </si>
  <si>
    <t>031fbaae-9ec8-400a-92ae-2426cee91f4c</t>
  </si>
  <si>
    <t>TK-GW-00001.TK-GW-00001-DB-0001.VUMINH.THAI@KUNAI.TV</t>
  </si>
  <si>
    <t>Thái 1</t>
  </si>
  <si>
    <t>VUMINH.THAI@KUNAI.TV</t>
  </si>
  <si>
    <t>04d633c1-8586-4bac-a290-08dd702d4f19</t>
  </si>
  <si>
    <t>TK-GW-00001.TK-GW-00001-DB-0001.TEST@ASDAD</t>
  </si>
  <si>
    <t>NULL</t>
  </si>
  <si>
    <t>TEST@ASDAD</t>
  </si>
  <si>
    <t>1058fe35-0f5c-49cf-90a6-7dac935f137c</t>
  </si>
  <si>
    <t>TK-GW-00001.TK-GW-00001-DB-0001.TEST123@123</t>
  </si>
  <si>
    <t>TEST123@123</t>
  </si>
  <si>
    <t>15dbfad6-e41b-47e2-a655-8b9713ba0b54</t>
  </si>
  <si>
    <t>TK-GW-00001.TK-GW-00001-DB-0001.PHUONGHAISE@GMAIL.COM</t>
  </si>
  <si>
    <t>hải 111</t>
  </si>
  <si>
    <t>PHUONGHAISE@GMAIL.COM</t>
  </si>
  <si>
    <t>27673064-8923-49ff-9a7a-8b93546ed67c</t>
  </si>
  <si>
    <t>TK-GW-00001.TK-GW-00001-DB-0001.CHI-VL@HIPT.VN</t>
  </si>
  <si>
    <t>CHI-VL@HIPT.VN</t>
  </si>
  <si>
    <t>65eabb6f-354c-41d6-8c00-987cf1802ee3</t>
  </si>
  <si>
    <t>TK-GW-00001.TK-GW-00001-DB-0001.HUONGTRUONG</t>
  </si>
  <si>
    <t>TK-GW-00001.TK-GW-00001-DB-0001.HUONGTRUONG1907@GMAIL.COM</t>
  </si>
  <si>
    <t>HUONGTRUONG1907@GMAIL.COM</t>
  </si>
  <si>
    <t>HUONGTRUONG</t>
  </si>
  <si>
    <t>6692ee95-81cb-4631-8711-9c9921c50ce7</t>
  </si>
  <si>
    <t>TK-GW-00001.TK-GW-00001-DB-0001.HOANGNGUYENAOF2210@GMAIL.COM</t>
  </si>
  <si>
    <t>HOANGNGUYENAOF2210@GMAIL.COM</t>
  </si>
  <si>
    <t>66a98746-ba51-4a97-8730-425736f96329</t>
  </si>
  <si>
    <t>TK-GW-00001.TK-GW-00001-DB-0001.HNG8234@GMAIL.COM</t>
  </si>
  <si>
    <t>hai 2</t>
  </si>
  <si>
    <t>HNG8234@GMAIL.COM</t>
  </si>
  <si>
    <t>716336b8-0698-49d0-a65c-b5f45d724099</t>
  </si>
  <si>
    <t>TK-GW-00001.TK-GW-00001-DB-0001.ADMIN</t>
  </si>
  <si>
    <t>Administrator</t>
  </si>
  <si>
    <t>TK-GW-00001.TK-GW-00001-DB-0001.thaivuminh1013@gmail.com</t>
  </si>
  <si>
    <t>thaivuminh1013@gmail.com</t>
  </si>
  <si>
    <t>ADMIN</t>
  </si>
  <si>
    <t>77afa778-4c49-4059-8885-c01d8c472288</t>
  </si>
  <si>
    <t>TK-GW-00001.TK-GW-00001-DB-0001.ABC@ABC.COM</t>
  </si>
  <si>
    <t>aaaa</t>
  </si>
  <si>
    <t>ABC@ABC.COM</t>
  </si>
  <si>
    <t>7ac78a65-36dd-401f-81a4-91d30c754d17</t>
  </si>
  <si>
    <t>TK-GW-00001.TK-GW-00001-DB-0001.THAIVUMINH10131@GMAIL.COM</t>
  </si>
  <si>
    <t>Thái 2</t>
  </si>
  <si>
    <t>THAIVUMINH10131@GMAIL.COM</t>
  </si>
  <si>
    <t>7d7bb2eb-9c04-406c-bbd7-a740e41fd8b0</t>
  </si>
  <si>
    <t>TK-GW-00001.TK-GW-00001-DB-0001.HUONGHOANG</t>
  </si>
  <si>
    <t>Hoàng Thị Hương</t>
  </si>
  <si>
    <t>TK-GW-00001.TK-GW-00001-DB-0001.TT_HUONG@VBP.EDU.VN</t>
  </si>
  <si>
    <t>TT_HUONG@VBP.EDU.VN</t>
  </si>
  <si>
    <t>HUONGHOANG</t>
  </si>
  <si>
    <t>8b1b9a11-12a5-4a98-96a4-5a0b314da773</t>
  </si>
  <si>
    <t>TK-GW-00001.TK-GW-00001-DB-0001.THAM-TT@HIPT.VN</t>
  </si>
  <si>
    <t>THAM-TT@HIPT.VN</t>
  </si>
  <si>
    <t>8d2102ce-1ba2-4022-a686-0c2e66514d56</t>
  </si>
  <si>
    <t>TK-GW-00001.TK-GW-00001-DB-0001.MRTUANDUONG@GMAIL.COM</t>
  </si>
  <si>
    <t>MRTUANDUONG@GMAIL.COM</t>
  </si>
  <si>
    <t>8db54ac6-a3b0-4dfd-927b-f7d4cf021651</t>
  </si>
  <si>
    <t>TK-GW-00001.TK-GW-00001-DB-0001.THUYDTMANAGER</t>
  </si>
  <si>
    <t>THUYDT</t>
  </si>
  <si>
    <t>TK-GW-00001.TK-GW-00001-DB-0001.DAUTHITHUYCAT@GMAIL.COM</t>
  </si>
  <si>
    <t>DAUTHITHUYCAT@GMAIL.COM</t>
  </si>
  <si>
    <t>THUYDTMANAGER</t>
  </si>
  <si>
    <t>93f0f235-d7ed-4285-b921-30195e5bc1ef</t>
  </si>
  <si>
    <t>TK-GW-00001.TK-GW-00001-DB-0001.THUY-DT1@HIPT.VN</t>
  </si>
  <si>
    <t>THUY-DT1@HIPT.VN</t>
  </si>
  <si>
    <t>966bae8d-52d2-48a0-8b1b-3bb4151c2742</t>
  </si>
  <si>
    <t>TK-GW-00001.TK-GW-00001-DB-0001.TEST1234@1234</t>
  </si>
  <si>
    <t>TEST1234@1234</t>
  </si>
  <si>
    <t>a09311ac-fbd2-4373-b0b7-a0382be079f3</t>
  </si>
  <si>
    <t>TK-GW-00001.TK-GW-00001-DB-0001.TIEN-PV@HIPT.VN</t>
  </si>
  <si>
    <t>aa</t>
  </si>
  <si>
    <t>TIEN-PV@HIPT.VN</t>
  </si>
  <si>
    <t>ab60506f-277a-4cbd-bed2-b5ebed7eaaef</t>
  </si>
  <si>
    <t>TK-GW-00001.TK-GW-00001-DB-0001.ASDAD@ASDAD</t>
  </si>
  <si>
    <t>ASDAD@ASDAD</t>
  </si>
  <si>
    <t>b61714f8-49d0-4381-bf4f-95544e25fc2e</t>
  </si>
  <si>
    <t>TK-GW-00001.TK-GW-00001-DB-0001.TRUONGTHIHUONG</t>
  </si>
  <si>
    <t>Trương Thị Linh Hương</t>
  </si>
  <si>
    <t>TK-GW-00001.TK-GW-00001-DB-0001.HUONG-TT@HIPT.VN</t>
  </si>
  <si>
    <t>HUONG-TT@HIPT.VN</t>
  </si>
  <si>
    <t>TRUONGTHIHUONG</t>
  </si>
  <si>
    <t>cc8489b0-6338-4210-a223-0db299e033f4</t>
  </si>
  <si>
    <t>TK-GW-00001.TK-GW-00001-DB-0001.11111111@ABC.COM</t>
  </si>
  <si>
    <t>testtest</t>
  </si>
  <si>
    <t>11111111@ABC.COM</t>
  </si>
  <si>
    <t>d9269898-8063-4892-9981-74fcbb547bff</t>
  </si>
  <si>
    <t>TK-GW-00001.TK-GW-00001-DB-0001.TIENPV@6868.VN</t>
  </si>
  <si>
    <t>TIENPV@6868.VN</t>
  </si>
  <si>
    <t>e8bf6a9f-ce3e-4eec-9cc6-65c6ae195281</t>
  </si>
  <si>
    <t>TK-GW-00001.TK-GW-00001-DB-0001.TEST1234@123123</t>
  </si>
  <si>
    <t>TEST1234@123123</t>
  </si>
  <si>
    <t>ec32f9f5-8c1a-4e94-bbe7-c1a083e09b5f</t>
  </si>
  <si>
    <t>TK-GW-00001.TK-GW-00001-DB-0001.ADAD@123123132</t>
  </si>
  <si>
    <t>asdad</t>
  </si>
  <si>
    <t>ADAD@123123132</t>
  </si>
  <si>
    <t>f4357377-b2fb-4afa-812a-8715deb26b9a</t>
  </si>
  <si>
    <t>TK-GW-00001.TK-GW-00001-DB-0001.TESTER.01@HIPT.VN</t>
  </si>
  <si>
    <t>TESTER.01@HIPT.VN</t>
  </si>
  <si>
    <t>ID Map</t>
  </si>
  <si>
    <t>PHONGBANIDMAP</t>
  </si>
  <si>
    <t>COQUANBOIDMAP</t>
  </si>
  <si>
    <t>BAOCAODENMAP</t>
  </si>
  <si>
    <t>CHUATIEM</t>
  </si>
  <si>
    <t>MUI1</t>
  </si>
  <si>
    <t>MUI2</t>
  </si>
  <si>
    <t>Chưa tiêm</t>
  </si>
  <si>
    <t>DATIEMVACXINMAP</t>
  </si>
  <si>
    <t>DocThan</t>
  </si>
  <si>
    <t>TINHTRANGHONNHANMAP</t>
  </si>
  <si>
    <t>Đã ly hôn</t>
  </si>
  <si>
    <t>CoGiaDinh</t>
  </si>
  <si>
    <t>LyHon</t>
  </si>
  <si>
    <t>MUI3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</si>
</sst>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dd/mm/yyyy"/>
  </numFmts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5"/>
  <sheetViews>
    <sheetView tabSelected="1" workbookViewId="0">
      <pane ySplit="1" topLeftCell="A2" activePane="bottomLeft" state="frozen"/>
      <selection pane="bottomLeft" activeCell="BA5" sqref="BA5"/>
    </sheetView>
  </sheetViews>
  <sheetFormatPr defaultRowHeight="15"/>
  <cols>
    <col min="1" max="1" width="16.85546875" customWidth="1"/>
    <col min="2" max="2" width="29" customWidth="1"/>
    <col min="3" max="3" width="25.28515625" customWidth="1"/>
    <col min="4" max="4" width="22.7109375" customWidth="1"/>
    <col min="5" max="5" width="21" customWidth="1"/>
    <col min="6" max="6" width="25.5703125" customWidth="1"/>
    <col min="7" max="7" width="12.85546875" customWidth="1"/>
    <col min="8" max="8" width="18" customWidth="1"/>
    <col min="9" max="9" width="13.42578125" bestFit="1" customWidth="1"/>
    <col min="10" max="10" width="21.140625" customWidth="1"/>
    <col min="11" max="11" width="34.5703125" customWidth="1"/>
    <col min="12" max="12" width="27.42578125" customWidth="1"/>
    <col min="13" max="13" width="12.42578125" bestFit="1" customWidth="1"/>
    <col min="14" max="14" width="22.42578125" customWidth="1"/>
    <col min="15" max="15" width="26.85546875" style="2" customWidth="1"/>
    <col min="17" max="17" width="23.85546875" customWidth="1"/>
    <col min="18" max="18" width="19.5703125" customWidth="1"/>
    <col min="20" max="20" width="39.140625" customWidth="1"/>
    <col min="21" max="21" width="21.140625" customWidth="1"/>
    <col min="22" max="22" width="27.7109375" style="3" customWidth="1"/>
    <col min="24" max="24" width="22.85546875" customWidth="1"/>
    <col min="25" max="25" width="48.7109375" customWidth="1"/>
    <col min="26" max="26" width="37.7109375" customWidth="1"/>
    <col min="27" max="27" width="20.28515625" bestFit="1" customWidth="1"/>
    <col min="28" max="28" width="23.140625" customWidth="1"/>
    <col min="29" max="29" width="40.85546875" customWidth="1"/>
    <col min="30" max="30" width="16.5703125" customWidth="1"/>
    <col min="33" max="33" width="25.42578125" customWidth="1"/>
    <col min="34" max="34" width="82.5703125" bestFit="1" customWidth="1"/>
    <col min="35" max="35" width="16.7109375" bestFit="1" customWidth="1"/>
    <col min="36" max="36" width="53.42578125" bestFit="1" customWidth="1"/>
    <col min="37" max="37" width="21.42578125" bestFit="1" customWidth="1"/>
    <col min="38" max="38" width="16" bestFit="1" customWidth="1"/>
    <col min="39" max="39" width="44.140625" bestFit="1" customWidth="1"/>
    <col min="40" max="40" width="17.7109375" bestFit="1" customWidth="1"/>
    <col min="41" max="41" width="28.140625" customWidth="1"/>
    <col min="42" max="42" width="25" customWidth="1"/>
    <col min="43" max="43" width="26.7109375" style="3" customWidth="1"/>
    <col min="44" max="44" width="19.42578125" bestFit="1" customWidth="1"/>
    <col min="45" max="45" width="29.28515625" customWidth="1"/>
    <col min="46" max="46" width="31.7109375" customWidth="1"/>
    <col min="48" max="48" width="40.42578125" customWidth="1"/>
    <col min="49" max="49" width="34.140625" customWidth="1"/>
    <col min="50" max="50" width="28.5703125" customWidth="1"/>
    <col min="51" max="51" width="29.85546875" customWidth="1"/>
    <col min="52" max="52" width="34.85546875" style="3" customWidth="1"/>
    <col min="53" max="53" width="45.140625" bestFit="1" customWidth="1"/>
    <col min="54" max="54" width="37.42578125" bestFit="1" customWidth="1"/>
    <col min="55" max="55" width="36.85546875" bestFit="1" customWidth="1"/>
    <col min="56" max="56" width="15.42578125" customWidth="1"/>
    <col min="57" max="57" width="13.5703125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3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3" t="s">
        <v>51</v>
      </c>
      <c r="BA1" t="s">
        <v>902</v>
      </c>
      <c r="BB1" t="s">
        <v>903</v>
      </c>
      <c r="BC1" t="s">
        <v>904</v>
      </c>
      <c r="BD1" t="s">
        <v>909</v>
      </c>
      <c r="BE1" t="s">
        <v>911</v>
      </c>
    </row>
    <row r="2" spans="1:57">
      <c r="A2" s="1">
        <v>2011</v>
      </c>
      <c r="B2" t="s">
        <v>721</v>
      </c>
      <c r="C2" t="s">
        <v>722</v>
      </c>
      <c r="D2" t="s">
        <v>723</v>
      </c>
      <c r="E2" t="s">
        <v>724</v>
      </c>
      <c r="F2" t="s">
        <v>725</v>
      </c>
      <c r="G2" t="s">
        <v>56</v>
      </c>
      <c r="I2" s="1">
        <v>505</v>
      </c>
      <c r="J2" s="1">
        <v>147</v>
      </c>
      <c r="K2" t="s">
        <v>722</v>
      </c>
      <c r="M2">
        <v>1971</v>
      </c>
      <c r="O2" s="3">
        <v>36787</v>
      </c>
      <c r="P2" t="s">
        <v>55</v>
      </c>
      <c r="S2" t="s">
        <v>80</v>
      </c>
      <c r="T2" s="1">
        <v>2022</v>
      </c>
      <c r="U2" t="s">
        <v>726</v>
      </c>
      <c r="W2" t="s">
        <v>380</v>
      </c>
      <c r="Y2" t="s">
        <v>727</v>
      </c>
      <c r="Z2" t="s">
        <v>728</v>
      </c>
      <c r="AA2" t="s">
        <v>76</v>
      </c>
      <c r="AB2" t="s">
        <v>127</v>
      </c>
      <c r="AF2" t="s">
        <v>729</v>
      </c>
      <c r="AG2" s="1">
        <v>1</v>
      </c>
      <c r="AJ2" t="s">
        <v>730</v>
      </c>
      <c r="AK2" t="s">
        <v>60</v>
      </c>
      <c r="AM2" t="s">
        <v>731</v>
      </c>
      <c r="AS2" t="s">
        <v>732</v>
      </c>
      <c r="AT2" t="s">
        <v>733</v>
      </c>
      <c r="AU2" t="s">
        <v>264</v>
      </c>
      <c r="AV2" s="1">
        <v>0</v>
      </c>
      <c r="AX2" t="s">
        <v>114</v>
      </c>
      <c r="AY2" t="s">
        <v>734</v>
      </c>
      <c r="BA2" s="1" t="str">
        <f>VLOOKUP(I2,DMPHONGBAN!$E$4:$G$25,3,FALSE)</f>
        <v>FD76EBDF-3B23-44A2-B945-0C95252C9FA5</v>
      </c>
      <c r="BB2" t="str">
        <f>VLOOKUP(J2,DMCOQUANBO!$D$6:$F$10,3,FALSE)</f>
        <v>9CBA3840-9183-4802-B5E9-2F89F7752343</v>
      </c>
      <c r="BC2" t="str">
        <f>VLOOKUP(M2,taikhoan!$A$5:$B$208,2,FALSE)</f>
        <v>93f0f235-d7ed-4285-b921-30195e5bc1ef</v>
      </c>
      <c r="BD2" t="str">
        <f>VLOOKUP(AX2,tiemvacxin!$C$4:$D$7,2,FALSE)</f>
        <v>MUI3</v>
      </c>
      <c r="BE2" t="str">
        <f>VLOOKUP(AK2,TinhTrangHonNhan!$C$6:$D$8,2,FALSE)</f>
        <v>DocThan</v>
      </c>
    </row>
    <row r="3" spans="1:57">
      <c r="A3" s="1">
        <v>1669</v>
      </c>
      <c r="B3" t="s">
        <v>554</v>
      </c>
      <c r="C3" t="s">
        <v>555</v>
      </c>
      <c r="D3" t="s">
        <v>556</v>
      </c>
      <c r="E3" t="s">
        <v>557</v>
      </c>
      <c r="F3" t="s">
        <v>558</v>
      </c>
      <c r="G3" t="s">
        <v>56</v>
      </c>
      <c r="I3" s="1">
        <v>505</v>
      </c>
      <c r="J3" s="1">
        <v>147</v>
      </c>
      <c r="M3">
        <v>1621</v>
      </c>
      <c r="O3" s="3">
        <v>29614</v>
      </c>
      <c r="P3" t="s">
        <v>56</v>
      </c>
      <c r="Q3" t="s">
        <v>69</v>
      </c>
      <c r="S3" t="s">
        <v>57</v>
      </c>
      <c r="T3" s="1">
        <v>2002</v>
      </c>
      <c r="U3" t="s">
        <v>559</v>
      </c>
      <c r="V3" s="3">
        <v>7801</v>
      </c>
      <c r="W3" t="s">
        <v>58</v>
      </c>
      <c r="X3" t="s">
        <v>560</v>
      </c>
      <c r="Y3" t="s">
        <v>561</v>
      </c>
      <c r="Z3" t="s">
        <v>562</v>
      </c>
      <c r="AA3" t="s">
        <v>143</v>
      </c>
      <c r="AB3" t="s">
        <v>59</v>
      </c>
      <c r="AC3" s="3">
        <v>43479</v>
      </c>
      <c r="AD3" t="s">
        <v>563</v>
      </c>
      <c r="AE3" t="s">
        <v>564</v>
      </c>
      <c r="AF3" t="s">
        <v>565</v>
      </c>
      <c r="AG3" s="1">
        <v>1</v>
      </c>
      <c r="AH3" t="s">
        <v>566</v>
      </c>
      <c r="AJ3" t="s">
        <v>560</v>
      </c>
      <c r="AK3" t="s">
        <v>71</v>
      </c>
      <c r="AN3" t="s">
        <v>72</v>
      </c>
      <c r="AO3" t="s">
        <v>567</v>
      </c>
      <c r="AP3" s="3">
        <v>43479</v>
      </c>
      <c r="AQ3" s="3">
        <v>43478</v>
      </c>
      <c r="AR3" t="s">
        <v>568</v>
      </c>
      <c r="AS3" t="s">
        <v>569</v>
      </c>
      <c r="AT3" t="s">
        <v>570</v>
      </c>
      <c r="AU3" t="s">
        <v>102</v>
      </c>
      <c r="AV3" s="1">
        <v>0</v>
      </c>
      <c r="AX3" t="s">
        <v>107</v>
      </c>
      <c r="AY3" t="s">
        <v>571</v>
      </c>
      <c r="AZ3" s="3">
        <v>43479</v>
      </c>
      <c r="BA3" s="1" t="str">
        <f>VLOOKUP(I3,DMPHONGBAN!$E$4:$G$25,3,FALSE)</f>
        <v>FD76EBDF-3B23-44A2-B945-0C95252C9FA5</v>
      </c>
      <c r="BB3" t="str">
        <f>VLOOKUP(J3,DMCOQUANBO!$D$6:$F$10,3,FALSE)</f>
        <v>9CBA3840-9183-4802-B5E9-2F89F7752343</v>
      </c>
      <c r="BC3" t="str">
        <f>VLOOKUP(M3,taikhoan!$A$5:$B$208,2,FALSE)</f>
        <v>716336b8-0698-49d0-a65c-b5f45d724099</v>
      </c>
      <c r="BD3" t="str">
        <f>VLOOKUP(AX3,tiemvacxin!$C$4:$D$7,2,FALSE)</f>
        <v>MUI2</v>
      </c>
      <c r="BE3" t="str">
        <f>VLOOKUP(AK3,TinhTrangHonNhan!$C$6:$D$8,2,FALSE)</f>
        <v>CoGiaDinh</v>
      </c>
    </row>
    <row r="4" spans="1:57">
      <c r="A4" s="1">
        <v>1919</v>
      </c>
      <c r="B4" t="s">
        <v>700</v>
      </c>
      <c r="C4" t="s">
        <v>701</v>
      </c>
      <c r="D4" t="s">
        <v>702</v>
      </c>
      <c r="E4" t="s">
        <v>703</v>
      </c>
      <c r="G4" t="s">
        <v>56</v>
      </c>
      <c r="I4" s="1">
        <v>505</v>
      </c>
      <c r="J4" s="1">
        <v>147</v>
      </c>
      <c r="M4">
        <v>1621</v>
      </c>
      <c r="O4" s="3">
        <v>34606</v>
      </c>
      <c r="P4" t="s">
        <v>56</v>
      </c>
      <c r="S4" t="s">
        <v>57</v>
      </c>
      <c r="T4" t="s">
        <v>65</v>
      </c>
      <c r="U4" t="s">
        <v>704</v>
      </c>
      <c r="V4" s="3">
        <v>7786</v>
      </c>
      <c r="W4" t="s">
        <v>380</v>
      </c>
      <c r="Y4" t="s">
        <v>705</v>
      </c>
      <c r="AB4" t="s">
        <v>59</v>
      </c>
      <c r="AC4" s="3">
        <v>44027</v>
      </c>
      <c r="AF4" t="s">
        <v>706</v>
      </c>
      <c r="AG4" s="1">
        <v>1</v>
      </c>
      <c r="AJ4" t="s">
        <v>707</v>
      </c>
      <c r="AK4" t="s">
        <v>60</v>
      </c>
      <c r="AP4" s="3"/>
      <c r="AS4" t="s">
        <v>708</v>
      </c>
      <c r="AT4" t="s">
        <v>709</v>
      </c>
      <c r="AU4" t="s">
        <v>710</v>
      </c>
      <c r="AV4" s="1">
        <v>0</v>
      </c>
      <c r="AX4" t="s">
        <v>114</v>
      </c>
      <c r="AY4" t="s">
        <v>711</v>
      </c>
      <c r="BA4" s="1" t="str">
        <f>VLOOKUP(I4,DMPHONGBAN!$E$4:$G$25,3,FALSE)</f>
        <v>FD76EBDF-3B23-44A2-B945-0C95252C9FA5</v>
      </c>
      <c r="BB4" t="str">
        <f>VLOOKUP(J4,DMCOQUANBO!$D$6:$F$10,3,FALSE)</f>
        <v>9CBA3840-9183-4802-B5E9-2F89F7752343</v>
      </c>
      <c r="BC4" t="str">
        <f>VLOOKUP(M4,taikhoan!$A$5:$B$208,2,FALSE)</f>
        <v>716336b8-0698-49d0-a65c-b5f45d724099</v>
      </c>
      <c r="BD4" t="str">
        <f>VLOOKUP(AX4,tiemvacxin!$C$4:$D$7,2,FALSE)</f>
        <v>MUI3</v>
      </c>
      <c r="BE4" t="str">
        <f>VLOOKUP(AK4,TinhTrangHonNhan!$C$6:$D$8,2,FALSE)</f>
        <v>DocThan</v>
      </c>
    </row>
    <row r="5" spans="1:57">
      <c r="A5" s="1">
        <v>1666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56</v>
      </c>
      <c r="I5" s="1">
        <v>505</v>
      </c>
      <c r="J5" s="1">
        <v>147</v>
      </c>
      <c r="M5">
        <v>1621</v>
      </c>
      <c r="O5" s="3">
        <v>31698</v>
      </c>
      <c r="P5" t="s">
        <v>56</v>
      </c>
      <c r="Q5" t="s">
        <v>69</v>
      </c>
      <c r="S5" t="s">
        <v>70</v>
      </c>
      <c r="T5" s="1">
        <v>2011</v>
      </c>
      <c r="U5" t="s">
        <v>89</v>
      </c>
      <c r="V5" s="3">
        <v>8032</v>
      </c>
      <c r="W5" t="s">
        <v>90</v>
      </c>
      <c r="Y5" t="s">
        <v>91</v>
      </c>
      <c r="Z5" t="s">
        <v>92</v>
      </c>
      <c r="AA5" t="s">
        <v>93</v>
      </c>
      <c r="AB5" t="s">
        <v>59</v>
      </c>
      <c r="AD5" t="s">
        <v>94</v>
      </c>
      <c r="AE5" t="s">
        <v>95</v>
      </c>
      <c r="AF5" t="s">
        <v>96</v>
      </c>
      <c r="AG5" s="1">
        <v>1</v>
      </c>
      <c r="AH5" t="s">
        <v>97</v>
      </c>
      <c r="AJ5" t="s">
        <v>91</v>
      </c>
      <c r="AK5" t="s">
        <v>71</v>
      </c>
      <c r="AN5" t="s">
        <v>72</v>
      </c>
      <c r="AO5" t="s">
        <v>98</v>
      </c>
      <c r="AP5" s="3">
        <v>44392</v>
      </c>
      <c r="AQ5" s="3">
        <v>45487</v>
      </c>
      <c r="AR5" t="s">
        <v>99</v>
      </c>
      <c r="AS5" t="s">
        <v>100</v>
      </c>
      <c r="AT5" t="s">
        <v>101</v>
      </c>
      <c r="AU5" t="s">
        <v>102</v>
      </c>
      <c r="AV5" s="1">
        <v>0</v>
      </c>
      <c r="AX5" t="s">
        <v>61</v>
      </c>
      <c r="AY5" t="s">
        <v>103</v>
      </c>
      <c r="AZ5" s="3">
        <v>44027</v>
      </c>
      <c r="BA5" s="1" t="str">
        <f>VLOOKUP(I5,DMPHONGBAN!$E$4:$G$25,3,FALSE)</f>
        <v>FD76EBDF-3B23-44A2-B945-0C95252C9FA5</v>
      </c>
      <c r="BB5" t="str">
        <f>VLOOKUP(J5,DMCOQUANBO!$D$6:$F$10,3,FALSE)</f>
        <v>9CBA3840-9183-4802-B5E9-2F89F7752343</v>
      </c>
      <c r="BC5" t="str">
        <f>VLOOKUP(M5,taikhoan!$A$5:$B$208,2,FALSE)</f>
        <v>716336b8-0698-49d0-a65c-b5f45d724099</v>
      </c>
      <c r="BD5" t="str">
        <f>VLOOKUP(AX5,tiemvacxin!$C$4:$D$7,2,FALSE)</f>
        <v>MUI1</v>
      </c>
      <c r="BE5" t="str">
        <f>VLOOKUP(AK5,TinhTrangHonNhan!$C$6:$D$8,2,FALSE)</f>
        <v>CoGiaDinh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5"/>
  <sheetViews>
    <sheetView workbookViewId="0">
      <selection activeCell="E7" sqref="E7"/>
    </sheetView>
  </sheetViews>
  <sheetFormatPr defaultRowHeight="15"/>
  <cols>
    <col min="1" max="1" width="6.28515625" bestFit="1" customWidth="1"/>
    <col min="2" max="2" width="8.85546875" bestFit="1" customWidth="1"/>
    <col min="3" max="3" width="39.7109375" bestFit="1" customWidth="1"/>
    <col min="4" max="4" width="38.28515625" bestFit="1" customWidth="1"/>
    <col min="5" max="5" width="5.5703125" bestFit="1" customWidth="1"/>
    <col min="6" max="6" width="40.7109375" bestFit="1" customWidth="1"/>
    <col min="7" max="7" width="39.7109375" bestFit="1" customWidth="1"/>
  </cols>
  <sheetData>
    <row r="3" spans="1:7">
      <c r="C3" t="s">
        <v>735</v>
      </c>
      <c r="D3" t="s">
        <v>748</v>
      </c>
      <c r="E3" t="s">
        <v>736</v>
      </c>
      <c r="F3" t="s">
        <v>737</v>
      </c>
      <c r="G3" t="s">
        <v>735</v>
      </c>
    </row>
    <row r="4" spans="1:7">
      <c r="A4" s="4"/>
      <c r="B4" s="4"/>
      <c r="C4" t="s">
        <v>749</v>
      </c>
      <c r="D4" t="s">
        <v>746</v>
      </c>
      <c r="E4">
        <v>526</v>
      </c>
      <c r="F4" t="s">
        <v>750</v>
      </c>
      <c r="G4" t="s">
        <v>749</v>
      </c>
    </row>
    <row r="5" spans="1:7">
      <c r="A5" s="4"/>
      <c r="B5" s="4"/>
      <c r="C5" t="s">
        <v>751</v>
      </c>
      <c r="D5" t="s">
        <v>740</v>
      </c>
      <c r="E5">
        <v>505</v>
      </c>
      <c r="F5" t="s">
        <v>752</v>
      </c>
      <c r="G5" t="s">
        <v>751</v>
      </c>
    </row>
    <row r="6" spans="1:7">
      <c r="A6" s="4"/>
      <c r="B6" s="4"/>
      <c r="C6" t="s">
        <v>753</v>
      </c>
      <c r="D6" t="s">
        <v>746</v>
      </c>
      <c r="E6">
        <v>435</v>
      </c>
      <c r="F6" t="s">
        <v>754</v>
      </c>
      <c r="G6" t="s">
        <v>753</v>
      </c>
    </row>
    <row r="7" spans="1:7">
      <c r="A7" s="4"/>
      <c r="B7" s="4"/>
      <c r="C7" t="s">
        <v>755</v>
      </c>
      <c r="D7" t="s">
        <v>738</v>
      </c>
      <c r="E7">
        <v>504</v>
      </c>
      <c r="F7" t="s">
        <v>756</v>
      </c>
      <c r="G7" t="s">
        <v>755</v>
      </c>
    </row>
    <row r="8" spans="1:7">
      <c r="A8" s="4"/>
      <c r="B8" s="4"/>
      <c r="C8" s="5" t="s">
        <v>757</v>
      </c>
      <c r="D8" t="s">
        <v>746</v>
      </c>
      <c r="E8">
        <v>434</v>
      </c>
      <c r="F8" t="s">
        <v>758</v>
      </c>
      <c r="G8" s="5" t="s">
        <v>757</v>
      </c>
    </row>
    <row r="9" spans="1:7">
      <c r="A9" s="4"/>
      <c r="B9" s="4"/>
      <c r="C9" t="s">
        <v>759</v>
      </c>
      <c r="D9" t="s">
        <v>738</v>
      </c>
      <c r="E9">
        <v>446</v>
      </c>
      <c r="F9" t="s">
        <v>760</v>
      </c>
      <c r="G9" t="s">
        <v>759</v>
      </c>
    </row>
    <row r="10" spans="1:7">
      <c r="A10" s="4"/>
      <c r="B10" s="4"/>
      <c r="C10" t="s">
        <v>761</v>
      </c>
      <c r="D10" t="s">
        <v>746</v>
      </c>
      <c r="E10">
        <v>440</v>
      </c>
      <c r="F10" t="s">
        <v>762</v>
      </c>
      <c r="G10" t="s">
        <v>761</v>
      </c>
    </row>
    <row r="11" spans="1:7">
      <c r="A11" s="4"/>
      <c r="B11" s="4"/>
      <c r="C11" t="s">
        <v>763</v>
      </c>
      <c r="D11" t="s">
        <v>740</v>
      </c>
      <c r="E11">
        <v>444</v>
      </c>
      <c r="F11" t="s">
        <v>764</v>
      </c>
      <c r="G11" t="s">
        <v>763</v>
      </c>
    </row>
    <row r="12" spans="1:7">
      <c r="C12" t="s">
        <v>765</v>
      </c>
      <c r="D12" t="s">
        <v>744</v>
      </c>
      <c r="E12">
        <v>445</v>
      </c>
      <c r="F12" t="s">
        <v>766</v>
      </c>
      <c r="G12" t="s">
        <v>765</v>
      </c>
    </row>
    <row r="13" spans="1:7">
      <c r="C13" t="s">
        <v>767</v>
      </c>
      <c r="D13" t="s">
        <v>746</v>
      </c>
      <c r="E13">
        <v>438</v>
      </c>
      <c r="F13" t="s">
        <v>768</v>
      </c>
      <c r="G13" t="s">
        <v>767</v>
      </c>
    </row>
    <row r="14" spans="1:7">
      <c r="C14" t="s">
        <v>769</v>
      </c>
      <c r="D14" t="s">
        <v>746</v>
      </c>
      <c r="E14">
        <v>545</v>
      </c>
      <c r="F14" t="s">
        <v>770</v>
      </c>
      <c r="G14" t="s">
        <v>769</v>
      </c>
    </row>
    <row r="15" spans="1:7">
      <c r="C15" t="s">
        <v>771</v>
      </c>
      <c r="D15" t="s">
        <v>746</v>
      </c>
      <c r="E15">
        <v>443</v>
      </c>
      <c r="F15" t="s">
        <v>772</v>
      </c>
      <c r="G15" t="s">
        <v>771</v>
      </c>
    </row>
    <row r="16" spans="1:7">
      <c r="C16" t="s">
        <v>773</v>
      </c>
      <c r="D16" t="s">
        <v>746</v>
      </c>
      <c r="E16">
        <v>437</v>
      </c>
      <c r="F16" t="s">
        <v>774</v>
      </c>
      <c r="G16" t="s">
        <v>773</v>
      </c>
    </row>
    <row r="17" spans="3:7">
      <c r="C17" t="s">
        <v>775</v>
      </c>
      <c r="D17" t="s">
        <v>746</v>
      </c>
      <c r="E17">
        <v>433</v>
      </c>
      <c r="F17" t="s">
        <v>776</v>
      </c>
      <c r="G17" t="s">
        <v>775</v>
      </c>
    </row>
    <row r="18" spans="3:7">
      <c r="C18" t="s">
        <v>777</v>
      </c>
      <c r="D18" t="s">
        <v>746</v>
      </c>
      <c r="E18">
        <v>442</v>
      </c>
      <c r="F18" t="s">
        <v>778</v>
      </c>
      <c r="G18" t="s">
        <v>777</v>
      </c>
    </row>
    <row r="19" spans="3:7">
      <c r="C19" t="s">
        <v>779</v>
      </c>
      <c r="D19" t="s">
        <v>746</v>
      </c>
      <c r="E19">
        <v>431</v>
      </c>
      <c r="F19" t="s">
        <v>780</v>
      </c>
      <c r="G19" t="s">
        <v>779</v>
      </c>
    </row>
    <row r="20" spans="3:7">
      <c r="C20" t="s">
        <v>781</v>
      </c>
      <c r="D20" t="s">
        <v>746</v>
      </c>
      <c r="E20">
        <v>439</v>
      </c>
      <c r="F20" t="s">
        <v>782</v>
      </c>
      <c r="G20" t="s">
        <v>781</v>
      </c>
    </row>
    <row r="21" spans="3:7">
      <c r="C21" t="s">
        <v>783</v>
      </c>
      <c r="D21" t="s">
        <v>746</v>
      </c>
      <c r="E21">
        <v>432</v>
      </c>
      <c r="F21" t="s">
        <v>784</v>
      </c>
      <c r="G21" t="s">
        <v>783</v>
      </c>
    </row>
    <row r="22" spans="3:7">
      <c r="C22" t="s">
        <v>785</v>
      </c>
      <c r="D22" t="s">
        <v>746</v>
      </c>
      <c r="E22">
        <v>464</v>
      </c>
      <c r="F22" t="s">
        <v>786</v>
      </c>
      <c r="G22" t="s">
        <v>785</v>
      </c>
    </row>
    <row r="23" spans="3:7">
      <c r="C23" t="s">
        <v>787</v>
      </c>
      <c r="D23" t="s">
        <v>746</v>
      </c>
      <c r="E23">
        <v>436</v>
      </c>
      <c r="F23" t="s">
        <v>788</v>
      </c>
      <c r="G23" t="s">
        <v>787</v>
      </c>
    </row>
    <row r="24" spans="3:7">
      <c r="C24" t="s">
        <v>789</v>
      </c>
      <c r="D24" t="s">
        <v>746</v>
      </c>
      <c r="E24">
        <v>441</v>
      </c>
      <c r="F24" t="s">
        <v>790</v>
      </c>
      <c r="G24" t="s">
        <v>789</v>
      </c>
    </row>
    <row r="25" spans="3:7">
      <c r="C25" t="s">
        <v>791</v>
      </c>
      <c r="D25" t="s">
        <v>746</v>
      </c>
      <c r="E25">
        <v>411</v>
      </c>
      <c r="F25" t="s">
        <v>792</v>
      </c>
      <c r="G25" t="s">
        <v>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3A88-17D2-4797-885D-58CA012FE522}">
  <dimension ref="C5:F10"/>
  <sheetViews>
    <sheetView workbookViewId="0">
      <selection activeCell="D43" sqref="D43"/>
    </sheetView>
  </sheetViews>
  <sheetFormatPr defaultRowHeight="15"/>
  <cols>
    <col min="5" max="5" width="32.140625" bestFit="1" customWidth="1"/>
  </cols>
  <sheetData>
    <row r="5" spans="3:6">
      <c r="C5" t="s">
        <v>735</v>
      </c>
      <c r="D5" t="s">
        <v>736</v>
      </c>
      <c r="E5" t="s">
        <v>737</v>
      </c>
      <c r="F5" t="s">
        <v>735</v>
      </c>
    </row>
    <row r="6" spans="3:6">
      <c r="C6" t="s">
        <v>738</v>
      </c>
      <c r="D6">
        <v>145</v>
      </c>
      <c r="E6" t="s">
        <v>739</v>
      </c>
      <c r="F6" t="s">
        <v>738</v>
      </c>
    </row>
    <row r="7" spans="3:6">
      <c r="C7" t="s">
        <v>740</v>
      </c>
      <c r="D7">
        <v>147</v>
      </c>
      <c r="E7" t="s">
        <v>741</v>
      </c>
      <c r="F7" t="s">
        <v>740</v>
      </c>
    </row>
    <row r="8" spans="3:6">
      <c r="C8" t="s">
        <v>742</v>
      </c>
      <c r="D8">
        <v>146</v>
      </c>
      <c r="E8" t="s">
        <v>743</v>
      </c>
      <c r="F8" t="s">
        <v>742</v>
      </c>
    </row>
    <row r="9" spans="3:6">
      <c r="C9" t="s">
        <v>744</v>
      </c>
      <c r="D9">
        <v>125</v>
      </c>
      <c r="E9" t="s">
        <v>745</v>
      </c>
      <c r="F9" t="s">
        <v>744</v>
      </c>
    </row>
    <row r="10" spans="3:6">
      <c r="C10" t="s">
        <v>746</v>
      </c>
      <c r="D10">
        <v>104</v>
      </c>
      <c r="E10" t="s">
        <v>747</v>
      </c>
      <c r="F10" t="s">
        <v>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798F-ECAB-48B2-9EE7-78FF5CB142F1}">
  <dimension ref="A4:M208"/>
  <sheetViews>
    <sheetView topLeftCell="A187" workbookViewId="0">
      <selection activeCell="D214" sqref="D214"/>
    </sheetView>
  </sheetViews>
  <sheetFormatPr defaultRowHeight="15"/>
  <cols>
    <col min="1" max="1" width="13.140625" customWidth="1"/>
    <col min="2" max="2" width="46.42578125" customWidth="1"/>
    <col min="3" max="3" width="33.42578125" customWidth="1"/>
    <col min="4" max="4" width="14.42578125" bestFit="1" customWidth="1"/>
    <col min="5" max="5" width="28.7109375" customWidth="1"/>
    <col min="10" max="10" width="21.28515625" customWidth="1"/>
    <col min="11" max="11" width="38.42578125" customWidth="1"/>
    <col min="12" max="12" width="25.7109375" customWidth="1"/>
  </cols>
  <sheetData>
    <row r="4" spans="1:13" s="6" customFormat="1">
      <c r="A4" s="6" t="s">
        <v>793</v>
      </c>
      <c r="B4" s="6" t="s">
        <v>901</v>
      </c>
      <c r="C4" s="6" t="s">
        <v>794</v>
      </c>
      <c r="D4" s="6" t="s">
        <v>795</v>
      </c>
      <c r="E4" s="6" t="s">
        <v>796</v>
      </c>
      <c r="F4" s="6" t="s">
        <v>735</v>
      </c>
      <c r="G4" s="6" t="s">
        <v>797</v>
      </c>
      <c r="H4" s="6" t="s">
        <v>798</v>
      </c>
      <c r="I4" s="6" t="s">
        <v>799</v>
      </c>
      <c r="J4" s="6" t="s">
        <v>800</v>
      </c>
      <c r="K4" s="6" t="s">
        <v>801</v>
      </c>
      <c r="L4" s="6" t="s">
        <v>802</v>
      </c>
      <c r="M4" s="6" t="s">
        <v>735</v>
      </c>
    </row>
    <row r="5" spans="1:13">
      <c r="A5">
        <v>1577</v>
      </c>
      <c r="B5" t="e">
        <f>VLOOKUP(E5,$K$5:$M$208,3,FALSE)</f>
        <v>#N/A</v>
      </c>
      <c r="C5" t="s">
        <v>52</v>
      </c>
      <c r="D5" t="s">
        <v>53</v>
      </c>
      <c r="E5" t="s">
        <v>54</v>
      </c>
      <c r="F5" t="s">
        <v>803</v>
      </c>
      <c r="G5" t="s">
        <v>804</v>
      </c>
      <c r="H5" t="s">
        <v>804</v>
      </c>
      <c r="I5" t="s">
        <v>805</v>
      </c>
      <c r="J5" t="s">
        <v>804</v>
      </c>
      <c r="K5" t="s">
        <v>806</v>
      </c>
      <c r="L5" t="s">
        <v>806</v>
      </c>
      <c r="M5" t="s">
        <v>803</v>
      </c>
    </row>
    <row r="6" spans="1:13">
      <c r="A6">
        <v>1593</v>
      </c>
      <c r="B6" t="e">
        <f t="shared" ref="B6:B69" si="0">VLOOKUP(E6,$K$5:$M$208,3,FALSE)</f>
        <v>#N/A</v>
      </c>
      <c r="C6" t="s">
        <v>62</v>
      </c>
      <c r="D6" t="s">
        <v>63</v>
      </c>
      <c r="E6" t="s">
        <v>64</v>
      </c>
      <c r="F6" t="s">
        <v>807</v>
      </c>
      <c r="G6" t="s">
        <v>808</v>
      </c>
      <c r="H6" t="s">
        <v>808</v>
      </c>
      <c r="I6" t="s">
        <v>809</v>
      </c>
      <c r="J6" t="s">
        <v>808</v>
      </c>
      <c r="K6" t="s">
        <v>810</v>
      </c>
      <c r="L6" t="s">
        <v>810</v>
      </c>
      <c r="M6" t="s">
        <v>807</v>
      </c>
    </row>
    <row r="7" spans="1:13">
      <c r="A7">
        <v>1658</v>
      </c>
      <c r="B7" t="e">
        <f t="shared" si="0"/>
        <v>#N/A</v>
      </c>
      <c r="C7" t="s">
        <v>66</v>
      </c>
      <c r="D7" t="s">
        <v>67</v>
      </c>
      <c r="E7" t="s">
        <v>68</v>
      </c>
      <c r="F7" t="s">
        <v>811</v>
      </c>
      <c r="G7" t="s">
        <v>812</v>
      </c>
      <c r="H7" t="s">
        <v>812</v>
      </c>
      <c r="I7" t="s">
        <v>809</v>
      </c>
      <c r="J7" t="s">
        <v>812</v>
      </c>
      <c r="K7" t="s">
        <v>813</v>
      </c>
      <c r="L7" t="s">
        <v>813</v>
      </c>
      <c r="M7" t="s">
        <v>811</v>
      </c>
    </row>
    <row r="8" spans="1:13">
      <c r="A8">
        <v>1660</v>
      </c>
      <c r="B8" t="e">
        <f t="shared" si="0"/>
        <v>#N/A</v>
      </c>
      <c r="C8" t="s">
        <v>73</v>
      </c>
      <c r="D8" t="s">
        <v>74</v>
      </c>
      <c r="E8" t="s">
        <v>75</v>
      </c>
      <c r="F8" t="s">
        <v>814</v>
      </c>
      <c r="G8" t="s">
        <v>815</v>
      </c>
      <c r="H8" t="s">
        <v>815</v>
      </c>
      <c r="I8" t="s">
        <v>816</v>
      </c>
      <c r="J8" t="s">
        <v>815</v>
      </c>
      <c r="K8" t="s">
        <v>817</v>
      </c>
      <c r="L8" t="s">
        <v>817</v>
      </c>
      <c r="M8" t="s">
        <v>814</v>
      </c>
    </row>
    <row r="9" spans="1:13">
      <c r="A9">
        <v>1663</v>
      </c>
      <c r="B9" t="e">
        <f t="shared" si="0"/>
        <v>#N/A</v>
      </c>
      <c r="C9" t="s">
        <v>77</v>
      </c>
      <c r="D9" t="s">
        <v>78</v>
      </c>
      <c r="E9" t="s">
        <v>79</v>
      </c>
      <c r="F9" t="s">
        <v>818</v>
      </c>
      <c r="G9" t="s">
        <v>819</v>
      </c>
      <c r="H9" t="s">
        <v>819</v>
      </c>
      <c r="I9" t="s">
        <v>809</v>
      </c>
      <c r="J9" t="s">
        <v>819</v>
      </c>
      <c r="K9" t="s">
        <v>820</v>
      </c>
      <c r="L9" t="s">
        <v>820</v>
      </c>
      <c r="M9" t="s">
        <v>818</v>
      </c>
    </row>
    <row r="10" spans="1:13">
      <c r="A10">
        <v>1665</v>
      </c>
      <c r="B10" t="e">
        <f t="shared" si="0"/>
        <v>#N/A</v>
      </c>
      <c r="C10" t="s">
        <v>81</v>
      </c>
      <c r="D10" t="s">
        <v>82</v>
      </c>
      <c r="E10" t="s">
        <v>83</v>
      </c>
      <c r="F10" t="s">
        <v>821</v>
      </c>
      <c r="G10" t="s">
        <v>822</v>
      </c>
      <c r="H10" t="s">
        <v>822</v>
      </c>
      <c r="I10" t="s">
        <v>542</v>
      </c>
      <c r="J10" t="s">
        <v>823</v>
      </c>
      <c r="K10" t="s">
        <v>824</v>
      </c>
      <c r="L10" t="s">
        <v>825</v>
      </c>
      <c r="M10" t="s">
        <v>821</v>
      </c>
    </row>
    <row r="11" spans="1:13">
      <c r="A11">
        <v>1666</v>
      </c>
      <c r="B11" t="e">
        <f t="shared" si="0"/>
        <v>#N/A</v>
      </c>
      <c r="C11" t="s">
        <v>84</v>
      </c>
      <c r="D11" t="s">
        <v>85</v>
      </c>
      <c r="E11" t="s">
        <v>87</v>
      </c>
      <c r="F11" t="s">
        <v>826</v>
      </c>
      <c r="G11" t="s">
        <v>827</v>
      </c>
      <c r="H11" t="s">
        <v>827</v>
      </c>
      <c r="I11" t="s">
        <v>545</v>
      </c>
      <c r="J11" t="s">
        <v>827</v>
      </c>
      <c r="K11" t="s">
        <v>828</v>
      </c>
      <c r="L11" t="s">
        <v>828</v>
      </c>
      <c r="M11" t="s">
        <v>826</v>
      </c>
    </row>
    <row r="12" spans="1:13">
      <c r="A12">
        <v>1668</v>
      </c>
      <c r="B12" t="e">
        <f t="shared" si="0"/>
        <v>#N/A</v>
      </c>
      <c r="C12" t="s">
        <v>104</v>
      </c>
      <c r="D12" t="s">
        <v>105</v>
      </c>
      <c r="E12" t="s">
        <v>106</v>
      </c>
      <c r="F12" t="s">
        <v>829</v>
      </c>
      <c r="G12" t="s">
        <v>830</v>
      </c>
      <c r="H12" t="s">
        <v>830</v>
      </c>
      <c r="I12" t="s">
        <v>831</v>
      </c>
      <c r="J12" t="s">
        <v>830</v>
      </c>
      <c r="K12" t="s">
        <v>832</v>
      </c>
      <c r="L12" t="s">
        <v>832</v>
      </c>
      <c r="M12" t="s">
        <v>829</v>
      </c>
    </row>
    <row r="13" spans="1:13">
      <c r="A13">
        <v>1671</v>
      </c>
      <c r="B13" t="e">
        <f t="shared" si="0"/>
        <v>#N/A</v>
      </c>
      <c r="C13" t="s">
        <v>108</v>
      </c>
      <c r="D13" t="s">
        <v>109</v>
      </c>
      <c r="E13" t="s">
        <v>110</v>
      </c>
      <c r="F13" t="s">
        <v>833</v>
      </c>
      <c r="G13" t="s">
        <v>834</v>
      </c>
      <c r="H13" t="s">
        <v>834</v>
      </c>
      <c r="I13" t="s">
        <v>835</v>
      </c>
      <c r="J13" t="s">
        <v>836</v>
      </c>
      <c r="K13" t="s">
        <v>837</v>
      </c>
      <c r="L13" t="s">
        <v>838</v>
      </c>
      <c r="M13" t="s">
        <v>833</v>
      </c>
    </row>
    <row r="14" spans="1:13">
      <c r="A14">
        <v>1673</v>
      </c>
      <c r="B14" t="e">
        <f t="shared" si="0"/>
        <v>#N/A</v>
      </c>
      <c r="C14" t="s">
        <v>111</v>
      </c>
      <c r="D14" t="s">
        <v>112</v>
      </c>
      <c r="E14" t="s">
        <v>113</v>
      </c>
      <c r="F14" t="s">
        <v>839</v>
      </c>
      <c r="G14" t="s">
        <v>840</v>
      </c>
      <c r="H14" t="s">
        <v>840</v>
      </c>
      <c r="I14" t="s">
        <v>841</v>
      </c>
      <c r="J14" t="s">
        <v>840</v>
      </c>
      <c r="K14" t="s">
        <v>842</v>
      </c>
      <c r="L14" t="s">
        <v>842</v>
      </c>
      <c r="M14" t="s">
        <v>839</v>
      </c>
    </row>
    <row r="15" spans="1:13">
      <c r="A15">
        <v>1675</v>
      </c>
      <c r="B15" t="e">
        <f t="shared" si="0"/>
        <v>#N/A</v>
      </c>
      <c r="C15" t="s">
        <v>115</v>
      </c>
      <c r="D15" t="s">
        <v>116</v>
      </c>
      <c r="E15" t="s">
        <v>117</v>
      </c>
      <c r="F15" t="s">
        <v>843</v>
      </c>
      <c r="G15" t="s">
        <v>844</v>
      </c>
      <c r="H15" t="s">
        <v>844</v>
      </c>
      <c r="I15" t="s">
        <v>845</v>
      </c>
      <c r="J15" t="s">
        <v>844</v>
      </c>
      <c r="K15" t="s">
        <v>846</v>
      </c>
      <c r="L15" t="s">
        <v>846</v>
      </c>
      <c r="M15" t="s">
        <v>843</v>
      </c>
    </row>
    <row r="16" spans="1:13">
      <c r="A16">
        <v>1678</v>
      </c>
      <c r="B16" t="e">
        <f t="shared" si="0"/>
        <v>#N/A</v>
      </c>
      <c r="C16" t="s">
        <v>118</v>
      </c>
      <c r="D16" t="s">
        <v>119</v>
      </c>
      <c r="E16" t="s">
        <v>120</v>
      </c>
      <c r="F16" t="s">
        <v>847</v>
      </c>
      <c r="G16" t="s">
        <v>848</v>
      </c>
      <c r="H16" t="s">
        <v>848</v>
      </c>
      <c r="I16" t="s">
        <v>849</v>
      </c>
      <c r="J16" t="s">
        <v>850</v>
      </c>
      <c r="K16" t="s">
        <v>851</v>
      </c>
      <c r="L16" t="s">
        <v>852</v>
      </c>
      <c r="M16" t="s">
        <v>847</v>
      </c>
    </row>
    <row r="17" spans="1:13">
      <c r="A17">
        <v>1679</v>
      </c>
      <c r="B17" t="e">
        <f t="shared" si="0"/>
        <v>#N/A</v>
      </c>
      <c r="C17" t="s">
        <v>121</v>
      </c>
      <c r="D17" t="s">
        <v>122</v>
      </c>
      <c r="E17" t="s">
        <v>123</v>
      </c>
      <c r="F17" t="s">
        <v>853</v>
      </c>
      <c r="G17" t="s">
        <v>854</v>
      </c>
      <c r="H17" t="s">
        <v>854</v>
      </c>
      <c r="I17" t="s">
        <v>809</v>
      </c>
      <c r="J17" t="s">
        <v>854</v>
      </c>
      <c r="K17" t="s">
        <v>855</v>
      </c>
      <c r="L17" t="s">
        <v>855</v>
      </c>
      <c r="M17" t="s">
        <v>853</v>
      </c>
    </row>
    <row r="18" spans="1:13">
      <c r="A18">
        <v>1507</v>
      </c>
      <c r="B18" t="e">
        <f t="shared" si="0"/>
        <v>#N/A</v>
      </c>
      <c r="C18" t="s">
        <v>124</v>
      </c>
      <c r="D18" t="s">
        <v>125</v>
      </c>
      <c r="E18" t="s">
        <v>126</v>
      </c>
      <c r="F18" t="s">
        <v>856</v>
      </c>
      <c r="G18" t="s">
        <v>857</v>
      </c>
      <c r="H18" t="s">
        <v>857</v>
      </c>
      <c r="I18" t="s">
        <v>809</v>
      </c>
      <c r="J18" t="s">
        <v>857</v>
      </c>
      <c r="K18" t="s">
        <v>858</v>
      </c>
      <c r="L18" t="s">
        <v>858</v>
      </c>
      <c r="M18" t="s">
        <v>856</v>
      </c>
    </row>
    <row r="19" spans="1:13">
      <c r="A19">
        <v>1515</v>
      </c>
      <c r="B19" t="e">
        <f t="shared" si="0"/>
        <v>#N/A</v>
      </c>
      <c r="C19" t="s">
        <v>128</v>
      </c>
      <c r="D19" t="s">
        <v>129</v>
      </c>
      <c r="E19" t="s">
        <v>130</v>
      </c>
      <c r="F19" t="s">
        <v>859</v>
      </c>
      <c r="G19" t="s">
        <v>860</v>
      </c>
      <c r="H19" t="s">
        <v>860</v>
      </c>
      <c r="I19" t="s">
        <v>861</v>
      </c>
      <c r="J19" t="s">
        <v>862</v>
      </c>
      <c r="K19" t="s">
        <v>863</v>
      </c>
      <c r="L19" t="s">
        <v>864</v>
      </c>
      <c r="M19" t="s">
        <v>859</v>
      </c>
    </row>
    <row r="20" spans="1:13">
      <c r="A20">
        <v>1522</v>
      </c>
      <c r="B20" t="e">
        <f t="shared" si="0"/>
        <v>#N/A</v>
      </c>
      <c r="C20" t="s">
        <v>131</v>
      </c>
      <c r="D20" t="s">
        <v>132</v>
      </c>
      <c r="E20" t="s">
        <v>133</v>
      </c>
      <c r="F20" t="s">
        <v>865</v>
      </c>
      <c r="G20" t="s">
        <v>866</v>
      </c>
      <c r="H20" t="s">
        <v>866</v>
      </c>
      <c r="I20" t="s">
        <v>572</v>
      </c>
      <c r="J20" t="s">
        <v>866</v>
      </c>
      <c r="K20" t="s">
        <v>867</v>
      </c>
      <c r="L20" t="s">
        <v>867</v>
      </c>
      <c r="M20" t="s">
        <v>865</v>
      </c>
    </row>
    <row r="21" spans="1:13">
      <c r="A21">
        <v>1525</v>
      </c>
      <c r="B21" t="e">
        <f t="shared" si="0"/>
        <v>#N/A</v>
      </c>
      <c r="C21" t="s">
        <v>134</v>
      </c>
      <c r="D21" t="s">
        <v>135</v>
      </c>
      <c r="E21" t="s">
        <v>136</v>
      </c>
      <c r="F21" t="s">
        <v>868</v>
      </c>
      <c r="G21" t="s">
        <v>869</v>
      </c>
      <c r="H21" t="s">
        <v>869</v>
      </c>
      <c r="I21" t="s">
        <v>809</v>
      </c>
      <c r="J21" t="s">
        <v>869</v>
      </c>
      <c r="K21" t="s">
        <v>870</v>
      </c>
      <c r="L21" t="s">
        <v>870</v>
      </c>
      <c r="M21" t="s">
        <v>868</v>
      </c>
    </row>
    <row r="22" spans="1:13">
      <c r="A22">
        <v>1528</v>
      </c>
      <c r="B22" t="e">
        <f t="shared" si="0"/>
        <v>#N/A</v>
      </c>
      <c r="C22" t="s">
        <v>137</v>
      </c>
      <c r="D22" t="s">
        <v>138</v>
      </c>
      <c r="E22" t="s">
        <v>139</v>
      </c>
      <c r="F22" t="s">
        <v>871</v>
      </c>
      <c r="G22" t="s">
        <v>872</v>
      </c>
      <c r="H22" t="s">
        <v>872</v>
      </c>
      <c r="I22" t="s">
        <v>873</v>
      </c>
      <c r="J22" t="s">
        <v>872</v>
      </c>
      <c r="K22" t="s">
        <v>874</v>
      </c>
      <c r="L22" t="s">
        <v>874</v>
      </c>
      <c r="M22" t="s">
        <v>871</v>
      </c>
    </row>
    <row r="23" spans="1:13">
      <c r="A23">
        <v>1530</v>
      </c>
      <c r="B23" t="e">
        <f t="shared" si="0"/>
        <v>#N/A</v>
      </c>
      <c r="C23" t="s">
        <v>140</v>
      </c>
      <c r="D23" t="s">
        <v>141</v>
      </c>
      <c r="E23" t="s">
        <v>142</v>
      </c>
      <c r="F23" t="s">
        <v>875</v>
      </c>
      <c r="G23" t="s">
        <v>876</v>
      </c>
      <c r="H23" t="s">
        <v>876</v>
      </c>
      <c r="I23" t="s">
        <v>809</v>
      </c>
      <c r="J23" t="s">
        <v>876</v>
      </c>
      <c r="K23" t="s">
        <v>877</v>
      </c>
      <c r="L23" t="s">
        <v>877</v>
      </c>
      <c r="M23" t="s">
        <v>875</v>
      </c>
    </row>
    <row r="24" spans="1:13">
      <c r="A24">
        <v>1534</v>
      </c>
      <c r="B24" t="e">
        <f t="shared" si="0"/>
        <v>#N/A</v>
      </c>
      <c r="C24" t="s">
        <v>144</v>
      </c>
      <c r="D24" t="s">
        <v>145</v>
      </c>
      <c r="E24" t="s">
        <v>146</v>
      </c>
      <c r="F24" t="s">
        <v>878</v>
      </c>
      <c r="G24" t="s">
        <v>879</v>
      </c>
      <c r="H24" t="s">
        <v>879</v>
      </c>
      <c r="I24" t="s">
        <v>880</v>
      </c>
      <c r="J24" t="s">
        <v>881</v>
      </c>
      <c r="K24" t="s">
        <v>882</v>
      </c>
      <c r="L24" t="s">
        <v>883</v>
      </c>
      <c r="M24" t="s">
        <v>878</v>
      </c>
    </row>
    <row r="25" spans="1:13">
      <c r="A25">
        <v>1535</v>
      </c>
      <c r="B25" t="e">
        <f t="shared" si="0"/>
        <v>#N/A</v>
      </c>
      <c r="C25" t="s">
        <v>147</v>
      </c>
      <c r="D25" t="s">
        <v>148</v>
      </c>
      <c r="E25" t="s">
        <v>149</v>
      </c>
      <c r="F25" t="s">
        <v>884</v>
      </c>
      <c r="G25" t="s">
        <v>885</v>
      </c>
      <c r="H25" t="s">
        <v>885</v>
      </c>
      <c r="I25" t="s">
        <v>886</v>
      </c>
      <c r="J25" t="s">
        <v>885</v>
      </c>
      <c r="K25" t="s">
        <v>887</v>
      </c>
      <c r="L25" t="s">
        <v>887</v>
      </c>
      <c r="M25" t="s">
        <v>884</v>
      </c>
    </row>
    <row r="26" spans="1:13">
      <c r="A26">
        <v>1536</v>
      </c>
      <c r="B26" t="e">
        <f t="shared" si="0"/>
        <v>#N/A</v>
      </c>
      <c r="C26" t="s">
        <v>150</v>
      </c>
      <c r="D26" t="s">
        <v>151</v>
      </c>
      <c r="E26" t="s">
        <v>152</v>
      </c>
      <c r="F26" t="s">
        <v>888</v>
      </c>
      <c r="G26" t="s">
        <v>889</v>
      </c>
      <c r="H26" t="s">
        <v>889</v>
      </c>
      <c r="I26" t="s">
        <v>554</v>
      </c>
      <c r="J26" t="s">
        <v>889</v>
      </c>
      <c r="K26" t="s">
        <v>890</v>
      </c>
      <c r="L26" t="s">
        <v>890</v>
      </c>
      <c r="M26" t="s">
        <v>888</v>
      </c>
    </row>
    <row r="27" spans="1:13">
      <c r="A27">
        <v>1537</v>
      </c>
      <c r="B27" t="e">
        <f t="shared" si="0"/>
        <v>#N/A</v>
      </c>
      <c r="C27" t="s">
        <v>153</v>
      </c>
      <c r="D27" t="s">
        <v>154</v>
      </c>
      <c r="E27" t="s">
        <v>155</v>
      </c>
      <c r="F27" t="s">
        <v>891</v>
      </c>
      <c r="G27" t="s">
        <v>892</v>
      </c>
      <c r="H27" t="s">
        <v>892</v>
      </c>
      <c r="I27" t="s">
        <v>809</v>
      </c>
      <c r="J27" t="s">
        <v>892</v>
      </c>
      <c r="K27" t="s">
        <v>893</v>
      </c>
      <c r="L27" t="s">
        <v>893</v>
      </c>
      <c r="M27" t="s">
        <v>891</v>
      </c>
    </row>
    <row r="28" spans="1:13">
      <c r="A28">
        <v>1539</v>
      </c>
      <c r="B28" t="e">
        <f t="shared" si="0"/>
        <v>#N/A</v>
      </c>
      <c r="C28" t="s">
        <v>156</v>
      </c>
      <c r="D28" t="s">
        <v>157</v>
      </c>
      <c r="E28" t="s">
        <v>158</v>
      </c>
      <c r="F28" t="s">
        <v>894</v>
      </c>
      <c r="G28" t="s">
        <v>895</v>
      </c>
      <c r="H28" t="s">
        <v>895</v>
      </c>
      <c r="I28" t="s">
        <v>896</v>
      </c>
      <c r="J28" t="s">
        <v>895</v>
      </c>
      <c r="K28" t="s">
        <v>897</v>
      </c>
      <c r="L28" t="s">
        <v>897</v>
      </c>
      <c r="M28" t="s">
        <v>894</v>
      </c>
    </row>
    <row r="29" spans="1:13">
      <c r="A29">
        <v>1546</v>
      </c>
      <c r="B29" t="e">
        <f t="shared" si="0"/>
        <v>#N/A</v>
      </c>
      <c r="C29" t="s">
        <v>159</v>
      </c>
      <c r="D29" t="s">
        <v>160</v>
      </c>
      <c r="E29" t="s">
        <v>161</v>
      </c>
      <c r="F29" t="s">
        <v>898</v>
      </c>
      <c r="G29" t="s">
        <v>899</v>
      </c>
      <c r="H29" t="s">
        <v>899</v>
      </c>
      <c r="I29" t="s">
        <v>809</v>
      </c>
      <c r="J29" t="s">
        <v>899</v>
      </c>
      <c r="K29" t="s">
        <v>900</v>
      </c>
      <c r="L29" t="s">
        <v>900</v>
      </c>
      <c r="M29" t="s">
        <v>898</v>
      </c>
    </row>
    <row r="30" spans="1:13">
      <c r="A30">
        <v>1547</v>
      </c>
      <c r="B30" t="e">
        <f t="shared" si="0"/>
        <v>#N/A</v>
      </c>
      <c r="C30" t="s">
        <v>162</v>
      </c>
      <c r="D30" t="s">
        <v>163</v>
      </c>
      <c r="E30" t="s">
        <v>164</v>
      </c>
      <c r="F30" t="s">
        <v>833</v>
      </c>
      <c r="G30" t="s">
        <v>834</v>
      </c>
      <c r="H30" t="s">
        <v>834</v>
      </c>
      <c r="I30" t="s">
        <v>835</v>
      </c>
      <c r="J30" t="s">
        <v>836</v>
      </c>
      <c r="K30" t="s">
        <v>676</v>
      </c>
      <c r="L30" t="s">
        <v>676</v>
      </c>
      <c r="M30" t="s">
        <v>833</v>
      </c>
    </row>
    <row r="31" spans="1:13">
      <c r="A31">
        <v>1551</v>
      </c>
      <c r="B31" t="e">
        <f t="shared" si="0"/>
        <v>#N/A</v>
      </c>
      <c r="C31" t="s">
        <v>165</v>
      </c>
      <c r="D31" t="s">
        <v>166</v>
      </c>
      <c r="E31" t="s">
        <v>167</v>
      </c>
    </row>
    <row r="32" spans="1:13">
      <c r="A32">
        <v>1552</v>
      </c>
      <c r="B32" t="e">
        <f t="shared" si="0"/>
        <v>#N/A</v>
      </c>
      <c r="C32" t="s">
        <v>168</v>
      </c>
      <c r="D32" t="s">
        <v>169</v>
      </c>
      <c r="E32" t="s">
        <v>170</v>
      </c>
    </row>
    <row r="33" spans="1:5">
      <c r="A33">
        <v>1553</v>
      </c>
      <c r="B33" t="e">
        <f t="shared" si="0"/>
        <v>#N/A</v>
      </c>
      <c r="C33" t="s">
        <v>171</v>
      </c>
      <c r="D33" t="s">
        <v>172</v>
      </c>
      <c r="E33" t="s">
        <v>173</v>
      </c>
    </row>
    <row r="34" spans="1:5">
      <c r="A34">
        <v>1554</v>
      </c>
      <c r="B34" t="e">
        <f t="shared" si="0"/>
        <v>#N/A</v>
      </c>
      <c r="C34" t="s">
        <v>174</v>
      </c>
      <c r="D34" t="s">
        <v>175</v>
      </c>
      <c r="E34" t="s">
        <v>176</v>
      </c>
    </row>
    <row r="35" spans="1:5">
      <c r="A35">
        <v>1556</v>
      </c>
      <c r="B35" t="e">
        <f t="shared" si="0"/>
        <v>#N/A</v>
      </c>
      <c r="C35" t="s">
        <v>177</v>
      </c>
      <c r="D35" t="s">
        <v>178</v>
      </c>
      <c r="E35" t="s">
        <v>179</v>
      </c>
    </row>
    <row r="36" spans="1:5">
      <c r="A36">
        <v>1557</v>
      </c>
      <c r="B36" t="e">
        <f t="shared" si="0"/>
        <v>#N/A</v>
      </c>
      <c r="C36" t="s">
        <v>180</v>
      </c>
      <c r="D36" t="s">
        <v>181</v>
      </c>
      <c r="E36" t="s">
        <v>182</v>
      </c>
    </row>
    <row r="37" spans="1:5">
      <c r="A37">
        <v>1560</v>
      </c>
      <c r="B37" t="e">
        <f t="shared" si="0"/>
        <v>#N/A</v>
      </c>
      <c r="C37" t="s">
        <v>183</v>
      </c>
      <c r="D37" t="s">
        <v>184</v>
      </c>
      <c r="E37" t="s">
        <v>185</v>
      </c>
    </row>
    <row r="38" spans="1:5">
      <c r="A38">
        <v>1562</v>
      </c>
      <c r="B38" t="e">
        <f t="shared" si="0"/>
        <v>#N/A</v>
      </c>
      <c r="C38" t="s">
        <v>186</v>
      </c>
      <c r="D38" t="s">
        <v>187</v>
      </c>
      <c r="E38" t="s">
        <v>188</v>
      </c>
    </row>
    <row r="39" spans="1:5">
      <c r="A39">
        <v>1566</v>
      </c>
      <c r="B39" t="e">
        <f t="shared" si="0"/>
        <v>#N/A</v>
      </c>
      <c r="C39" t="s">
        <v>189</v>
      </c>
      <c r="D39" t="s">
        <v>190</v>
      </c>
      <c r="E39" t="s">
        <v>191</v>
      </c>
    </row>
    <row r="40" spans="1:5">
      <c r="A40">
        <v>1568</v>
      </c>
      <c r="B40" t="e">
        <f t="shared" si="0"/>
        <v>#N/A</v>
      </c>
      <c r="C40" t="s">
        <v>192</v>
      </c>
      <c r="D40" t="s">
        <v>193</v>
      </c>
      <c r="E40" t="s">
        <v>194</v>
      </c>
    </row>
    <row r="41" spans="1:5">
      <c r="A41">
        <v>1589</v>
      </c>
      <c r="B41" t="e">
        <f t="shared" si="0"/>
        <v>#N/A</v>
      </c>
      <c r="C41" t="s">
        <v>195</v>
      </c>
      <c r="D41" t="s">
        <v>196</v>
      </c>
      <c r="E41" t="s">
        <v>197</v>
      </c>
    </row>
    <row r="42" spans="1:5">
      <c r="A42">
        <v>1578</v>
      </c>
      <c r="B42" t="e">
        <f t="shared" si="0"/>
        <v>#N/A</v>
      </c>
      <c r="C42" t="s">
        <v>198</v>
      </c>
      <c r="D42" t="s">
        <v>199</v>
      </c>
      <c r="E42" t="s">
        <v>200</v>
      </c>
    </row>
    <row r="43" spans="1:5">
      <c r="A43">
        <v>1591</v>
      </c>
      <c r="B43" t="e">
        <f t="shared" si="0"/>
        <v>#N/A</v>
      </c>
      <c r="C43" t="s">
        <v>201</v>
      </c>
      <c r="D43" t="s">
        <v>202</v>
      </c>
      <c r="E43" t="s">
        <v>203</v>
      </c>
    </row>
    <row r="44" spans="1:5">
      <c r="A44">
        <v>1595</v>
      </c>
      <c r="B44" t="e">
        <f t="shared" si="0"/>
        <v>#N/A</v>
      </c>
      <c r="C44" t="s">
        <v>204</v>
      </c>
      <c r="D44" t="s">
        <v>205</v>
      </c>
      <c r="E44" t="s">
        <v>206</v>
      </c>
    </row>
    <row r="45" spans="1:5">
      <c r="A45">
        <v>1596</v>
      </c>
      <c r="B45" t="e">
        <f t="shared" si="0"/>
        <v>#N/A</v>
      </c>
      <c r="C45" t="s">
        <v>207</v>
      </c>
      <c r="D45" t="s">
        <v>208</v>
      </c>
      <c r="E45" t="s">
        <v>209</v>
      </c>
    </row>
    <row r="46" spans="1:5">
      <c r="A46">
        <v>1597</v>
      </c>
      <c r="B46" t="e">
        <f t="shared" si="0"/>
        <v>#N/A</v>
      </c>
      <c r="C46" t="s">
        <v>210</v>
      </c>
      <c r="D46" t="s">
        <v>211</v>
      </c>
      <c r="E46" t="s">
        <v>212</v>
      </c>
    </row>
    <row r="47" spans="1:5">
      <c r="A47">
        <v>1599</v>
      </c>
      <c r="B47" t="e">
        <f t="shared" si="0"/>
        <v>#N/A</v>
      </c>
      <c r="C47" t="s">
        <v>213</v>
      </c>
      <c r="D47" t="s">
        <v>214</v>
      </c>
      <c r="E47" t="s">
        <v>215</v>
      </c>
    </row>
    <row r="48" spans="1:5">
      <c r="A48">
        <v>1600</v>
      </c>
      <c r="B48" t="e">
        <f t="shared" si="0"/>
        <v>#N/A</v>
      </c>
      <c r="C48" t="s">
        <v>216</v>
      </c>
      <c r="D48" t="s">
        <v>217</v>
      </c>
      <c r="E48" t="s">
        <v>218</v>
      </c>
    </row>
    <row r="49" spans="1:5">
      <c r="A49">
        <v>1601</v>
      </c>
      <c r="B49" t="e">
        <f t="shared" si="0"/>
        <v>#N/A</v>
      </c>
      <c r="C49" t="s">
        <v>219</v>
      </c>
      <c r="D49" t="s">
        <v>220</v>
      </c>
      <c r="E49" t="s">
        <v>221</v>
      </c>
    </row>
    <row r="50" spans="1:5">
      <c r="A50">
        <v>1602</v>
      </c>
      <c r="B50" t="e">
        <f t="shared" si="0"/>
        <v>#N/A</v>
      </c>
      <c r="C50" t="s">
        <v>222</v>
      </c>
      <c r="D50" t="s">
        <v>223</v>
      </c>
      <c r="E50" t="s">
        <v>224</v>
      </c>
    </row>
    <row r="51" spans="1:5">
      <c r="A51">
        <v>1611</v>
      </c>
      <c r="B51" t="e">
        <f t="shared" si="0"/>
        <v>#N/A</v>
      </c>
      <c r="C51" t="s">
        <v>225</v>
      </c>
      <c r="D51" t="s">
        <v>226</v>
      </c>
      <c r="E51" t="s">
        <v>227</v>
      </c>
    </row>
    <row r="52" spans="1:5">
      <c r="A52">
        <v>1619</v>
      </c>
      <c r="B52" t="e">
        <f t="shared" si="0"/>
        <v>#N/A</v>
      </c>
      <c r="C52" t="s">
        <v>228</v>
      </c>
      <c r="D52" t="s">
        <v>229</v>
      </c>
      <c r="E52" t="s">
        <v>230</v>
      </c>
    </row>
    <row r="53" spans="1:5">
      <c r="A53">
        <v>1624</v>
      </c>
      <c r="B53" t="e">
        <f t="shared" si="0"/>
        <v>#N/A</v>
      </c>
      <c r="C53" t="s">
        <v>231</v>
      </c>
      <c r="D53" t="s">
        <v>232</v>
      </c>
      <c r="E53" t="s">
        <v>233</v>
      </c>
    </row>
    <row r="54" spans="1:5">
      <c r="A54">
        <v>1625</v>
      </c>
      <c r="B54" t="e">
        <f t="shared" si="0"/>
        <v>#N/A</v>
      </c>
      <c r="C54" t="s">
        <v>234</v>
      </c>
      <c r="D54" t="s">
        <v>235</v>
      </c>
      <c r="E54" t="s">
        <v>236</v>
      </c>
    </row>
    <row r="55" spans="1:5">
      <c r="A55">
        <v>1626</v>
      </c>
      <c r="B55" t="e">
        <f t="shared" si="0"/>
        <v>#N/A</v>
      </c>
      <c r="C55" t="s">
        <v>237</v>
      </c>
      <c r="D55" t="s">
        <v>238</v>
      </c>
      <c r="E55" t="s">
        <v>239</v>
      </c>
    </row>
    <row r="56" spans="1:5">
      <c r="A56">
        <v>1627</v>
      </c>
      <c r="B56" t="e">
        <f t="shared" si="0"/>
        <v>#N/A</v>
      </c>
      <c r="C56" t="s">
        <v>240</v>
      </c>
      <c r="D56" t="s">
        <v>241</v>
      </c>
      <c r="E56" t="s">
        <v>242</v>
      </c>
    </row>
    <row r="57" spans="1:5">
      <c r="A57">
        <v>1631</v>
      </c>
      <c r="B57" t="e">
        <f t="shared" si="0"/>
        <v>#N/A</v>
      </c>
      <c r="C57" t="s">
        <v>243</v>
      </c>
      <c r="D57" t="s">
        <v>244</v>
      </c>
      <c r="E57" t="s">
        <v>245</v>
      </c>
    </row>
    <row r="58" spans="1:5">
      <c r="A58">
        <v>1632</v>
      </c>
      <c r="B58" t="e">
        <f t="shared" si="0"/>
        <v>#N/A</v>
      </c>
      <c r="C58" t="s">
        <v>246</v>
      </c>
      <c r="D58" t="s">
        <v>247</v>
      </c>
      <c r="E58" t="s">
        <v>248</v>
      </c>
    </row>
    <row r="59" spans="1:5">
      <c r="A59">
        <v>1633</v>
      </c>
      <c r="B59" t="e">
        <f t="shared" si="0"/>
        <v>#N/A</v>
      </c>
      <c r="C59" t="s">
        <v>249</v>
      </c>
      <c r="D59" t="s">
        <v>250</v>
      </c>
      <c r="E59" t="s">
        <v>251</v>
      </c>
    </row>
    <row r="60" spans="1:5">
      <c r="A60">
        <v>1582</v>
      </c>
      <c r="B60" t="e">
        <f t="shared" si="0"/>
        <v>#N/A</v>
      </c>
      <c r="C60" t="s">
        <v>252</v>
      </c>
      <c r="D60" t="s">
        <v>253</v>
      </c>
      <c r="E60" t="s">
        <v>254</v>
      </c>
    </row>
    <row r="61" spans="1:5">
      <c r="A61">
        <v>1583</v>
      </c>
      <c r="B61" t="e">
        <f t="shared" si="0"/>
        <v>#N/A</v>
      </c>
      <c r="C61" t="s">
        <v>255</v>
      </c>
      <c r="D61" t="s">
        <v>256</v>
      </c>
      <c r="E61" t="s">
        <v>257</v>
      </c>
    </row>
    <row r="62" spans="1:5">
      <c r="A62">
        <v>1585</v>
      </c>
      <c r="B62" t="e">
        <f t="shared" si="0"/>
        <v>#N/A</v>
      </c>
      <c r="C62" t="s">
        <v>258</v>
      </c>
      <c r="D62" t="s">
        <v>259</v>
      </c>
      <c r="E62" t="s">
        <v>260</v>
      </c>
    </row>
    <row r="63" spans="1:5">
      <c r="A63">
        <v>1586</v>
      </c>
      <c r="B63" t="e">
        <f t="shared" si="0"/>
        <v>#N/A</v>
      </c>
      <c r="C63" t="s">
        <v>261</v>
      </c>
      <c r="D63" t="s">
        <v>262</v>
      </c>
      <c r="E63" t="s">
        <v>263</v>
      </c>
    </row>
    <row r="64" spans="1:5">
      <c r="A64">
        <v>1541</v>
      </c>
      <c r="B64" t="e">
        <f t="shared" si="0"/>
        <v>#N/A</v>
      </c>
      <c r="C64" t="s">
        <v>265</v>
      </c>
      <c r="D64" t="s">
        <v>266</v>
      </c>
      <c r="E64" t="s">
        <v>267</v>
      </c>
    </row>
    <row r="65" spans="1:5">
      <c r="A65">
        <v>1636</v>
      </c>
      <c r="B65" t="e">
        <f t="shared" si="0"/>
        <v>#N/A</v>
      </c>
      <c r="C65" t="s">
        <v>268</v>
      </c>
      <c r="D65" t="s">
        <v>269</v>
      </c>
      <c r="E65" t="s">
        <v>270</v>
      </c>
    </row>
    <row r="66" spans="1:5">
      <c r="A66">
        <v>1640</v>
      </c>
      <c r="B66" t="e">
        <f t="shared" si="0"/>
        <v>#N/A</v>
      </c>
      <c r="C66" t="s">
        <v>271</v>
      </c>
      <c r="D66" t="s">
        <v>272</v>
      </c>
      <c r="E66" t="s">
        <v>273</v>
      </c>
    </row>
    <row r="67" spans="1:5">
      <c r="A67">
        <v>1645</v>
      </c>
      <c r="B67" t="e">
        <f t="shared" si="0"/>
        <v>#N/A</v>
      </c>
      <c r="C67" t="s">
        <v>274</v>
      </c>
      <c r="D67" t="s">
        <v>275</v>
      </c>
      <c r="E67" t="s">
        <v>276</v>
      </c>
    </row>
    <row r="68" spans="1:5">
      <c r="A68">
        <v>1647</v>
      </c>
      <c r="B68" t="e">
        <f t="shared" si="0"/>
        <v>#N/A</v>
      </c>
      <c r="C68" t="s">
        <v>277</v>
      </c>
      <c r="D68" t="s">
        <v>278</v>
      </c>
      <c r="E68" t="s">
        <v>279</v>
      </c>
    </row>
    <row r="69" spans="1:5">
      <c r="A69">
        <v>1649</v>
      </c>
      <c r="B69" t="e">
        <f t="shared" si="0"/>
        <v>#N/A</v>
      </c>
      <c r="C69" t="s">
        <v>280</v>
      </c>
      <c r="D69" t="s">
        <v>281</v>
      </c>
      <c r="E69" t="s">
        <v>282</v>
      </c>
    </row>
    <row r="70" spans="1:5">
      <c r="A70">
        <v>1652</v>
      </c>
      <c r="B70" t="e">
        <f t="shared" ref="B70:B133" si="1">VLOOKUP(E70,$K$5:$M$208,3,FALSE)</f>
        <v>#N/A</v>
      </c>
      <c r="C70" t="s">
        <v>283</v>
      </c>
      <c r="D70" t="s">
        <v>284</v>
      </c>
      <c r="E70" t="s">
        <v>285</v>
      </c>
    </row>
    <row r="71" spans="1:5">
      <c r="A71">
        <v>1656</v>
      </c>
      <c r="B71" t="e">
        <f t="shared" si="1"/>
        <v>#N/A</v>
      </c>
      <c r="C71" t="s">
        <v>286</v>
      </c>
      <c r="D71" t="s">
        <v>287</v>
      </c>
      <c r="E71" t="s">
        <v>288</v>
      </c>
    </row>
    <row r="72" spans="1:5">
      <c r="A72">
        <v>1526</v>
      </c>
      <c r="B72" t="e">
        <f t="shared" si="1"/>
        <v>#N/A</v>
      </c>
      <c r="C72" t="s">
        <v>289</v>
      </c>
      <c r="D72" t="s">
        <v>290</v>
      </c>
      <c r="E72" t="s">
        <v>291</v>
      </c>
    </row>
    <row r="73" spans="1:5">
      <c r="A73">
        <v>1487</v>
      </c>
      <c r="B73" t="e">
        <f t="shared" si="1"/>
        <v>#N/A</v>
      </c>
      <c r="C73" t="s">
        <v>292</v>
      </c>
      <c r="D73" t="s">
        <v>293</v>
      </c>
      <c r="E73" t="s">
        <v>294</v>
      </c>
    </row>
    <row r="74" spans="1:5">
      <c r="A74">
        <v>1629</v>
      </c>
      <c r="B74" t="e">
        <f t="shared" si="1"/>
        <v>#N/A</v>
      </c>
      <c r="C74" t="s">
        <v>295</v>
      </c>
      <c r="D74" t="s">
        <v>296</v>
      </c>
      <c r="E74" t="s">
        <v>297</v>
      </c>
    </row>
    <row r="75" spans="1:5">
      <c r="A75">
        <v>1650</v>
      </c>
      <c r="B75" t="e">
        <f t="shared" si="1"/>
        <v>#N/A</v>
      </c>
      <c r="C75" t="s">
        <v>298</v>
      </c>
      <c r="D75" t="s">
        <v>299</v>
      </c>
      <c r="E75" t="s">
        <v>300</v>
      </c>
    </row>
    <row r="76" spans="1:5">
      <c r="A76">
        <v>1527</v>
      </c>
      <c r="B76" t="e">
        <f t="shared" si="1"/>
        <v>#N/A</v>
      </c>
      <c r="C76" t="s">
        <v>301</v>
      </c>
      <c r="D76" t="s">
        <v>302</v>
      </c>
      <c r="E76" t="s">
        <v>303</v>
      </c>
    </row>
    <row r="77" spans="1:5">
      <c r="A77">
        <v>1615</v>
      </c>
      <c r="B77" t="e">
        <f t="shared" si="1"/>
        <v>#N/A</v>
      </c>
      <c r="C77" t="s">
        <v>304</v>
      </c>
      <c r="D77" t="s">
        <v>305</v>
      </c>
      <c r="E77" t="s">
        <v>306</v>
      </c>
    </row>
    <row r="78" spans="1:5">
      <c r="A78">
        <v>1653</v>
      </c>
      <c r="B78" t="e">
        <f t="shared" si="1"/>
        <v>#N/A</v>
      </c>
      <c r="C78" t="s">
        <v>307</v>
      </c>
      <c r="D78" t="s">
        <v>308</v>
      </c>
      <c r="E78" t="s">
        <v>309</v>
      </c>
    </row>
    <row r="79" spans="1:5">
      <c r="A79">
        <v>1680</v>
      </c>
      <c r="B79" t="e">
        <f t="shared" si="1"/>
        <v>#N/A</v>
      </c>
      <c r="C79" t="s">
        <v>310</v>
      </c>
      <c r="D79" t="s">
        <v>311</v>
      </c>
      <c r="E79" t="s">
        <v>312</v>
      </c>
    </row>
    <row r="80" spans="1:5">
      <c r="A80">
        <v>1623</v>
      </c>
      <c r="B80" t="e">
        <f t="shared" si="1"/>
        <v>#N/A</v>
      </c>
      <c r="C80" t="s">
        <v>313</v>
      </c>
      <c r="D80" t="s">
        <v>314</v>
      </c>
      <c r="E80" t="s">
        <v>315</v>
      </c>
    </row>
    <row r="81" spans="1:5">
      <c r="A81">
        <v>1519</v>
      </c>
      <c r="B81" t="e">
        <f t="shared" si="1"/>
        <v>#N/A</v>
      </c>
      <c r="C81" t="s">
        <v>316</v>
      </c>
      <c r="D81" t="s">
        <v>317</v>
      </c>
      <c r="E81" t="s">
        <v>318</v>
      </c>
    </row>
    <row r="82" spans="1:5">
      <c r="A82">
        <v>1657</v>
      </c>
      <c r="B82" t="e">
        <f t="shared" si="1"/>
        <v>#N/A</v>
      </c>
      <c r="C82" t="s">
        <v>319</v>
      </c>
      <c r="D82" t="s">
        <v>320</v>
      </c>
      <c r="E82" t="s">
        <v>321</v>
      </c>
    </row>
    <row r="83" spans="1:5">
      <c r="A83">
        <v>1659</v>
      </c>
      <c r="B83" t="e">
        <f t="shared" si="1"/>
        <v>#N/A</v>
      </c>
      <c r="C83" t="s">
        <v>322</v>
      </c>
      <c r="D83" t="s">
        <v>323</v>
      </c>
      <c r="E83" t="s">
        <v>324</v>
      </c>
    </row>
    <row r="84" spans="1:5">
      <c r="A84">
        <v>1516</v>
      </c>
      <c r="B84" t="e">
        <f t="shared" si="1"/>
        <v>#N/A</v>
      </c>
      <c r="C84" t="s">
        <v>325</v>
      </c>
      <c r="D84" t="s">
        <v>326</v>
      </c>
      <c r="E84" t="s">
        <v>327</v>
      </c>
    </row>
    <row r="85" spans="1:5">
      <c r="A85">
        <v>1634</v>
      </c>
      <c r="B85" t="e">
        <f t="shared" si="1"/>
        <v>#N/A</v>
      </c>
      <c r="C85" t="s">
        <v>329</v>
      </c>
      <c r="D85" t="s">
        <v>330</v>
      </c>
      <c r="E85" t="s">
        <v>331</v>
      </c>
    </row>
    <row r="86" spans="1:5">
      <c r="A86">
        <v>1549</v>
      </c>
      <c r="B86" t="e">
        <f t="shared" si="1"/>
        <v>#N/A</v>
      </c>
      <c r="C86" t="s">
        <v>332</v>
      </c>
      <c r="D86" t="s">
        <v>333</v>
      </c>
      <c r="E86" t="s">
        <v>334</v>
      </c>
    </row>
    <row r="87" spans="1:5">
      <c r="A87">
        <v>1559</v>
      </c>
      <c r="B87" t="e">
        <f t="shared" si="1"/>
        <v>#N/A</v>
      </c>
      <c r="C87" t="s">
        <v>336</v>
      </c>
      <c r="D87" t="s">
        <v>337</v>
      </c>
      <c r="E87" t="s">
        <v>338</v>
      </c>
    </row>
    <row r="88" spans="1:5">
      <c r="A88">
        <v>1670</v>
      </c>
      <c r="B88" t="e">
        <f t="shared" si="1"/>
        <v>#N/A</v>
      </c>
      <c r="C88" t="s">
        <v>339</v>
      </c>
      <c r="D88" t="s">
        <v>340</v>
      </c>
      <c r="E88" t="s">
        <v>341</v>
      </c>
    </row>
    <row r="89" spans="1:5">
      <c r="A89">
        <v>153</v>
      </c>
      <c r="B89" t="e">
        <f t="shared" si="1"/>
        <v>#N/A</v>
      </c>
      <c r="C89" t="s">
        <v>342</v>
      </c>
      <c r="D89" t="s">
        <v>343</v>
      </c>
      <c r="E89" t="s">
        <v>344</v>
      </c>
    </row>
    <row r="90" spans="1:5">
      <c r="A90">
        <v>1517</v>
      </c>
      <c r="B90" t="e">
        <f t="shared" si="1"/>
        <v>#N/A</v>
      </c>
      <c r="C90" t="s">
        <v>345</v>
      </c>
      <c r="D90" t="s">
        <v>346</v>
      </c>
      <c r="E90" t="s">
        <v>347</v>
      </c>
    </row>
    <row r="91" spans="1:5">
      <c r="A91">
        <v>1618</v>
      </c>
      <c r="B91" t="e">
        <f t="shared" si="1"/>
        <v>#N/A</v>
      </c>
      <c r="C91" t="s">
        <v>348</v>
      </c>
      <c r="D91" t="s">
        <v>349</v>
      </c>
      <c r="E91" t="s">
        <v>350</v>
      </c>
    </row>
    <row r="92" spans="1:5">
      <c r="A92">
        <v>1646</v>
      </c>
      <c r="B92" t="str">
        <f t="shared" si="1"/>
        <v>8b1b9a11-12a5-4a98-96a4-5a0b314da773</v>
      </c>
      <c r="C92" t="s">
        <v>351</v>
      </c>
      <c r="D92" t="s">
        <v>352</v>
      </c>
      <c r="E92" t="s">
        <v>353</v>
      </c>
    </row>
    <row r="93" spans="1:5">
      <c r="A93">
        <v>1542</v>
      </c>
      <c r="B93" t="e">
        <f t="shared" si="1"/>
        <v>#N/A</v>
      </c>
      <c r="C93" t="s">
        <v>354</v>
      </c>
      <c r="D93" t="s">
        <v>355</v>
      </c>
      <c r="E93" t="s">
        <v>356</v>
      </c>
    </row>
    <row r="94" spans="1:5">
      <c r="A94">
        <v>1569</v>
      </c>
      <c r="B94" t="e">
        <f t="shared" si="1"/>
        <v>#N/A</v>
      </c>
      <c r="C94" t="s">
        <v>104</v>
      </c>
      <c r="D94" t="s">
        <v>357</v>
      </c>
      <c r="E94" t="s">
        <v>358</v>
      </c>
    </row>
    <row r="95" spans="1:5">
      <c r="A95">
        <v>1662</v>
      </c>
      <c r="B95" t="e">
        <f t="shared" si="1"/>
        <v>#N/A</v>
      </c>
      <c r="C95" t="s">
        <v>359</v>
      </c>
      <c r="D95" t="s">
        <v>360</v>
      </c>
      <c r="E95" t="s">
        <v>361</v>
      </c>
    </row>
    <row r="96" spans="1:5">
      <c r="A96">
        <v>1637</v>
      </c>
      <c r="B96" t="e">
        <f t="shared" si="1"/>
        <v>#N/A</v>
      </c>
      <c r="C96" t="s">
        <v>362</v>
      </c>
      <c r="D96" t="s">
        <v>363</v>
      </c>
      <c r="E96" t="s">
        <v>364</v>
      </c>
    </row>
    <row r="97" spans="1:5">
      <c r="A97">
        <v>1521</v>
      </c>
      <c r="B97" t="e">
        <f t="shared" si="1"/>
        <v>#N/A</v>
      </c>
      <c r="C97" t="s">
        <v>365</v>
      </c>
      <c r="D97" t="s">
        <v>366</v>
      </c>
      <c r="E97" t="s">
        <v>367</v>
      </c>
    </row>
    <row r="98" spans="1:5">
      <c r="A98">
        <v>1667</v>
      </c>
      <c r="B98" t="e">
        <f t="shared" si="1"/>
        <v>#N/A</v>
      </c>
      <c r="C98" t="s">
        <v>368</v>
      </c>
      <c r="D98" t="s">
        <v>369</v>
      </c>
      <c r="E98" t="s">
        <v>370</v>
      </c>
    </row>
    <row r="99" spans="1:5">
      <c r="A99">
        <v>1511</v>
      </c>
      <c r="B99" t="e">
        <f t="shared" si="1"/>
        <v>#N/A</v>
      </c>
      <c r="C99" t="s">
        <v>371</v>
      </c>
      <c r="D99" t="s">
        <v>372</v>
      </c>
      <c r="E99" t="s">
        <v>373</v>
      </c>
    </row>
    <row r="100" spans="1:5">
      <c r="A100">
        <v>1573</v>
      </c>
      <c r="B100" t="e">
        <f t="shared" si="1"/>
        <v>#N/A</v>
      </c>
      <c r="C100" t="s">
        <v>374</v>
      </c>
      <c r="D100" t="s">
        <v>375</v>
      </c>
      <c r="E100" t="s">
        <v>376</v>
      </c>
    </row>
    <row r="101" spans="1:5">
      <c r="A101">
        <v>21</v>
      </c>
      <c r="B101" t="e">
        <f t="shared" si="1"/>
        <v>#N/A</v>
      </c>
      <c r="C101" t="s">
        <v>377</v>
      </c>
      <c r="D101" t="s">
        <v>378</v>
      </c>
      <c r="E101" t="s">
        <v>379</v>
      </c>
    </row>
    <row r="102" spans="1:5">
      <c r="A102">
        <v>1651</v>
      </c>
      <c r="B102" t="e">
        <f t="shared" si="1"/>
        <v>#N/A</v>
      </c>
      <c r="C102" t="s">
        <v>381</v>
      </c>
      <c r="D102" t="s">
        <v>382</v>
      </c>
      <c r="E102" t="s">
        <v>383</v>
      </c>
    </row>
    <row r="103" spans="1:5">
      <c r="A103">
        <v>1643</v>
      </c>
      <c r="B103" t="e">
        <f t="shared" si="1"/>
        <v>#N/A</v>
      </c>
      <c r="C103" t="s">
        <v>384</v>
      </c>
      <c r="D103" t="s">
        <v>385</v>
      </c>
      <c r="E103" t="s">
        <v>386</v>
      </c>
    </row>
    <row r="104" spans="1:5">
      <c r="A104">
        <v>1548</v>
      </c>
      <c r="B104" t="e">
        <f t="shared" si="1"/>
        <v>#N/A</v>
      </c>
      <c r="C104" t="s">
        <v>387</v>
      </c>
      <c r="D104" t="s">
        <v>388</v>
      </c>
      <c r="E104" t="s">
        <v>389</v>
      </c>
    </row>
    <row r="105" spans="1:5">
      <c r="A105">
        <v>1558</v>
      </c>
      <c r="B105" t="e">
        <f t="shared" si="1"/>
        <v>#N/A</v>
      </c>
      <c r="C105" t="s">
        <v>390</v>
      </c>
      <c r="D105" t="s">
        <v>391</v>
      </c>
      <c r="E105" t="s">
        <v>392</v>
      </c>
    </row>
    <row r="106" spans="1:5">
      <c r="A106">
        <v>1688</v>
      </c>
      <c r="B106" t="e">
        <f t="shared" si="1"/>
        <v>#N/A</v>
      </c>
      <c r="C106" t="s">
        <v>393</v>
      </c>
      <c r="D106" t="s">
        <v>394</v>
      </c>
      <c r="E106" t="s">
        <v>395</v>
      </c>
    </row>
    <row r="107" spans="1:5">
      <c r="A107">
        <v>1641</v>
      </c>
      <c r="B107" t="e">
        <f t="shared" si="1"/>
        <v>#N/A</v>
      </c>
      <c r="C107" t="s">
        <v>396</v>
      </c>
      <c r="D107" t="s">
        <v>397</v>
      </c>
      <c r="E107" t="s">
        <v>398</v>
      </c>
    </row>
    <row r="108" spans="1:5">
      <c r="A108">
        <v>1533</v>
      </c>
      <c r="B108" t="e">
        <f t="shared" si="1"/>
        <v>#N/A</v>
      </c>
      <c r="C108" t="s">
        <v>335</v>
      </c>
      <c r="D108" t="s">
        <v>399</v>
      </c>
      <c r="E108" t="s">
        <v>400</v>
      </c>
    </row>
    <row r="109" spans="1:5">
      <c r="A109">
        <v>1616</v>
      </c>
      <c r="B109" t="e">
        <f t="shared" si="1"/>
        <v>#N/A</v>
      </c>
      <c r="C109" t="s">
        <v>402</v>
      </c>
      <c r="D109" t="s">
        <v>403</v>
      </c>
      <c r="E109" t="s">
        <v>404</v>
      </c>
    </row>
    <row r="110" spans="1:5">
      <c r="A110">
        <v>1550</v>
      </c>
      <c r="B110" t="e">
        <f t="shared" si="1"/>
        <v>#N/A</v>
      </c>
      <c r="C110" t="s">
        <v>405</v>
      </c>
      <c r="D110" t="s">
        <v>406</v>
      </c>
      <c r="E110" t="s">
        <v>407</v>
      </c>
    </row>
    <row r="111" spans="1:5">
      <c r="A111">
        <v>1572</v>
      </c>
      <c r="B111" t="e">
        <f t="shared" si="1"/>
        <v>#N/A</v>
      </c>
      <c r="C111" t="s">
        <v>408</v>
      </c>
      <c r="D111" t="s">
        <v>409</v>
      </c>
      <c r="E111" t="s">
        <v>410</v>
      </c>
    </row>
    <row r="112" spans="1:5">
      <c r="A112">
        <v>1639</v>
      </c>
      <c r="B112" t="e">
        <f t="shared" si="1"/>
        <v>#N/A</v>
      </c>
      <c r="C112" t="s">
        <v>411</v>
      </c>
      <c r="D112" t="s">
        <v>412</v>
      </c>
      <c r="E112" t="s">
        <v>413</v>
      </c>
    </row>
    <row r="113" spans="1:5">
      <c r="A113">
        <v>1514</v>
      </c>
      <c r="B113" t="e">
        <f t="shared" si="1"/>
        <v>#N/A</v>
      </c>
      <c r="C113" t="s">
        <v>414</v>
      </c>
      <c r="D113" t="s">
        <v>415</v>
      </c>
      <c r="E113" t="s">
        <v>416</v>
      </c>
    </row>
    <row r="114" spans="1:5">
      <c r="A114">
        <v>1529</v>
      </c>
      <c r="B114" t="e">
        <f t="shared" si="1"/>
        <v>#N/A</v>
      </c>
      <c r="C114" t="s">
        <v>417</v>
      </c>
      <c r="D114" t="s">
        <v>418</v>
      </c>
      <c r="E114" t="s">
        <v>419</v>
      </c>
    </row>
    <row r="115" spans="1:5">
      <c r="A115">
        <v>1708</v>
      </c>
      <c r="B115" t="e">
        <f t="shared" si="1"/>
        <v>#N/A</v>
      </c>
      <c r="C115" t="s">
        <v>420</v>
      </c>
      <c r="D115" t="s">
        <v>421</v>
      </c>
      <c r="E115" t="s">
        <v>422</v>
      </c>
    </row>
    <row r="116" spans="1:5">
      <c r="A116">
        <v>1544</v>
      </c>
      <c r="B116" t="e">
        <f t="shared" si="1"/>
        <v>#N/A</v>
      </c>
      <c r="C116" t="s">
        <v>423</v>
      </c>
      <c r="D116" t="s">
        <v>424</v>
      </c>
      <c r="E116" t="s">
        <v>425</v>
      </c>
    </row>
    <row r="117" spans="1:5">
      <c r="A117">
        <v>1617</v>
      </c>
      <c r="B117" t="e">
        <f t="shared" si="1"/>
        <v>#N/A</v>
      </c>
      <c r="C117" t="s">
        <v>426</v>
      </c>
      <c r="D117" t="s">
        <v>427</v>
      </c>
      <c r="E117" t="s">
        <v>428</v>
      </c>
    </row>
    <row r="118" spans="1:5">
      <c r="A118">
        <v>1749</v>
      </c>
      <c r="B118" t="e">
        <f t="shared" si="1"/>
        <v>#N/A</v>
      </c>
      <c r="C118" t="s">
        <v>429</v>
      </c>
      <c r="D118" t="s">
        <v>430</v>
      </c>
      <c r="E118" t="s">
        <v>431</v>
      </c>
    </row>
    <row r="119" spans="1:5">
      <c r="A119">
        <v>1561</v>
      </c>
      <c r="B119" t="e">
        <f t="shared" si="1"/>
        <v>#N/A</v>
      </c>
      <c r="C119" t="s">
        <v>432</v>
      </c>
      <c r="D119" t="s">
        <v>433</v>
      </c>
      <c r="E119" t="s">
        <v>434</v>
      </c>
    </row>
    <row r="120" spans="1:5">
      <c r="A120">
        <v>1771</v>
      </c>
      <c r="B120" t="e">
        <f t="shared" si="1"/>
        <v>#N/A</v>
      </c>
      <c r="C120" t="s">
        <v>435</v>
      </c>
      <c r="D120" t="s">
        <v>436</v>
      </c>
      <c r="E120" t="s">
        <v>437</v>
      </c>
    </row>
    <row r="121" spans="1:5">
      <c r="A121">
        <v>1590</v>
      </c>
      <c r="B121" t="e">
        <f t="shared" si="1"/>
        <v>#N/A</v>
      </c>
      <c r="C121" t="s">
        <v>438</v>
      </c>
      <c r="D121" t="s">
        <v>439</v>
      </c>
      <c r="E121" t="s">
        <v>440</v>
      </c>
    </row>
    <row r="122" spans="1:5">
      <c r="A122">
        <v>1620</v>
      </c>
      <c r="B122" t="e">
        <f t="shared" si="1"/>
        <v>#N/A</v>
      </c>
      <c r="C122" t="s">
        <v>441</v>
      </c>
      <c r="D122" t="s">
        <v>442</v>
      </c>
      <c r="E122" t="s">
        <v>443</v>
      </c>
    </row>
    <row r="123" spans="1:5">
      <c r="A123">
        <v>1580</v>
      </c>
      <c r="B123" t="e">
        <f t="shared" si="1"/>
        <v>#N/A</v>
      </c>
      <c r="C123" t="s">
        <v>445</v>
      </c>
      <c r="D123" t="s">
        <v>446</v>
      </c>
      <c r="E123" t="s">
        <v>447</v>
      </c>
    </row>
    <row r="124" spans="1:5">
      <c r="A124">
        <v>1518</v>
      </c>
      <c r="B124" t="e">
        <f t="shared" si="1"/>
        <v>#N/A</v>
      </c>
      <c r="C124" t="s">
        <v>448</v>
      </c>
      <c r="D124" t="s">
        <v>449</v>
      </c>
      <c r="E124" t="s">
        <v>450</v>
      </c>
    </row>
    <row r="125" spans="1:5">
      <c r="A125">
        <v>1567</v>
      </c>
      <c r="B125" t="e">
        <f t="shared" si="1"/>
        <v>#N/A</v>
      </c>
      <c r="C125" t="s">
        <v>451</v>
      </c>
      <c r="D125" t="s">
        <v>452</v>
      </c>
      <c r="E125" t="s">
        <v>453</v>
      </c>
    </row>
    <row r="126" spans="1:5">
      <c r="A126">
        <v>1681</v>
      </c>
      <c r="B126" t="e">
        <f t="shared" si="1"/>
        <v>#N/A</v>
      </c>
      <c r="C126" t="s">
        <v>454</v>
      </c>
      <c r="D126" t="s">
        <v>455</v>
      </c>
      <c r="E126" t="s">
        <v>456</v>
      </c>
    </row>
    <row r="127" spans="1:5">
      <c r="A127">
        <v>1545</v>
      </c>
      <c r="B127" t="e">
        <f t="shared" si="1"/>
        <v>#N/A</v>
      </c>
      <c r="C127" t="s">
        <v>457</v>
      </c>
      <c r="D127" t="s">
        <v>458</v>
      </c>
      <c r="E127" t="s">
        <v>459</v>
      </c>
    </row>
    <row r="128" spans="1:5">
      <c r="A128">
        <v>1563</v>
      </c>
      <c r="B128" t="e">
        <f t="shared" si="1"/>
        <v>#N/A</v>
      </c>
      <c r="C128" t="s">
        <v>460</v>
      </c>
      <c r="D128" t="s">
        <v>461</v>
      </c>
      <c r="E128" t="s">
        <v>462</v>
      </c>
    </row>
    <row r="129" spans="1:5">
      <c r="A129">
        <v>1610</v>
      </c>
      <c r="B129" t="e">
        <f t="shared" si="1"/>
        <v>#N/A</v>
      </c>
      <c r="C129" t="s">
        <v>463</v>
      </c>
      <c r="D129" t="s">
        <v>464</v>
      </c>
      <c r="E129" t="s">
        <v>465</v>
      </c>
    </row>
    <row r="130" spans="1:5">
      <c r="A130">
        <v>1635</v>
      </c>
      <c r="B130" t="e">
        <f t="shared" si="1"/>
        <v>#N/A</v>
      </c>
      <c r="C130" t="s">
        <v>466</v>
      </c>
      <c r="D130" t="s">
        <v>467</v>
      </c>
      <c r="E130" t="s">
        <v>468</v>
      </c>
    </row>
    <row r="131" spans="1:5">
      <c r="A131">
        <v>1581</v>
      </c>
      <c r="B131" t="e">
        <f t="shared" si="1"/>
        <v>#N/A</v>
      </c>
      <c r="C131" t="s">
        <v>469</v>
      </c>
      <c r="D131" t="s">
        <v>470</v>
      </c>
      <c r="E131" t="s">
        <v>471</v>
      </c>
    </row>
    <row r="132" spans="1:5">
      <c r="A132">
        <v>1638</v>
      </c>
      <c r="B132" t="e">
        <f t="shared" si="1"/>
        <v>#N/A</v>
      </c>
      <c r="C132" t="s">
        <v>472</v>
      </c>
      <c r="D132" t="s">
        <v>473</v>
      </c>
      <c r="E132" t="s">
        <v>474</v>
      </c>
    </row>
    <row r="133" spans="1:5">
      <c r="A133">
        <v>1654</v>
      </c>
      <c r="B133" t="e">
        <f t="shared" si="1"/>
        <v>#N/A</v>
      </c>
      <c r="C133" t="s">
        <v>475</v>
      </c>
      <c r="D133" t="s">
        <v>476</v>
      </c>
      <c r="E133" t="s">
        <v>477</v>
      </c>
    </row>
    <row r="134" spans="1:5">
      <c r="A134">
        <v>1574</v>
      </c>
      <c r="B134" t="e">
        <f t="shared" ref="B134:B197" si="2">VLOOKUP(E134,$K$5:$M$208,3,FALSE)</f>
        <v>#N/A</v>
      </c>
      <c r="C134" t="s">
        <v>478</v>
      </c>
      <c r="D134" t="s">
        <v>479</v>
      </c>
      <c r="E134" t="s">
        <v>480</v>
      </c>
    </row>
    <row r="135" spans="1:5">
      <c r="A135">
        <v>1672</v>
      </c>
      <c r="B135" t="e">
        <f t="shared" si="2"/>
        <v>#N/A</v>
      </c>
      <c r="C135" t="s">
        <v>481</v>
      </c>
      <c r="D135" t="s">
        <v>482</v>
      </c>
      <c r="E135" t="s">
        <v>483</v>
      </c>
    </row>
    <row r="136" spans="1:5">
      <c r="A136">
        <v>1509</v>
      </c>
      <c r="B136" t="e">
        <f t="shared" si="2"/>
        <v>#N/A</v>
      </c>
      <c r="C136" t="s">
        <v>401</v>
      </c>
      <c r="D136" t="s">
        <v>484</v>
      </c>
      <c r="E136" t="s">
        <v>485</v>
      </c>
    </row>
    <row r="137" spans="1:5">
      <c r="A137">
        <v>1538</v>
      </c>
      <c r="B137" t="e">
        <f t="shared" si="2"/>
        <v>#N/A</v>
      </c>
      <c r="C137" t="s">
        <v>486</v>
      </c>
      <c r="D137" t="s">
        <v>487</v>
      </c>
      <c r="E137" t="s">
        <v>488</v>
      </c>
    </row>
    <row r="138" spans="1:5">
      <c r="A138">
        <v>1570</v>
      </c>
      <c r="B138" t="e">
        <f t="shared" si="2"/>
        <v>#N/A</v>
      </c>
      <c r="C138" t="s">
        <v>489</v>
      </c>
      <c r="D138" t="s">
        <v>490</v>
      </c>
      <c r="E138" t="s">
        <v>491</v>
      </c>
    </row>
    <row r="139" spans="1:5">
      <c r="A139">
        <v>1642</v>
      </c>
      <c r="B139" t="e">
        <f t="shared" si="2"/>
        <v>#N/A</v>
      </c>
      <c r="C139" t="s">
        <v>492</v>
      </c>
      <c r="D139" t="s">
        <v>493</v>
      </c>
      <c r="E139" t="s">
        <v>494</v>
      </c>
    </row>
    <row r="140" spans="1:5">
      <c r="A140">
        <v>1674</v>
      </c>
      <c r="B140" t="e">
        <f t="shared" si="2"/>
        <v>#N/A</v>
      </c>
      <c r="C140" t="s">
        <v>495</v>
      </c>
      <c r="D140" t="s">
        <v>496</v>
      </c>
      <c r="E140" t="s">
        <v>497</v>
      </c>
    </row>
    <row r="141" spans="1:5">
      <c r="A141">
        <v>1622</v>
      </c>
      <c r="B141" t="e">
        <f t="shared" si="2"/>
        <v>#N/A</v>
      </c>
      <c r="C141" t="s">
        <v>328</v>
      </c>
      <c r="D141" t="s">
        <v>498</v>
      </c>
      <c r="E141" t="s">
        <v>499</v>
      </c>
    </row>
    <row r="142" spans="1:5">
      <c r="A142">
        <v>1543</v>
      </c>
      <c r="B142" t="e">
        <f t="shared" si="2"/>
        <v>#N/A</v>
      </c>
      <c r="C142" t="s">
        <v>500</v>
      </c>
      <c r="D142" t="s">
        <v>501</v>
      </c>
      <c r="E142" t="s">
        <v>502</v>
      </c>
    </row>
    <row r="143" spans="1:5">
      <c r="A143">
        <v>1592</v>
      </c>
      <c r="B143" t="e">
        <f t="shared" si="2"/>
        <v>#N/A</v>
      </c>
      <c r="C143" t="s">
        <v>503</v>
      </c>
      <c r="D143" t="s">
        <v>504</v>
      </c>
      <c r="E143" t="s">
        <v>505</v>
      </c>
    </row>
    <row r="144" spans="1:5">
      <c r="A144">
        <v>1644</v>
      </c>
      <c r="B144" t="e">
        <f t="shared" si="2"/>
        <v>#N/A</v>
      </c>
      <c r="C144" t="s">
        <v>506</v>
      </c>
      <c r="D144" t="s">
        <v>507</v>
      </c>
      <c r="E144" t="s">
        <v>508</v>
      </c>
    </row>
    <row r="145" spans="1:5">
      <c r="A145">
        <v>1912</v>
      </c>
      <c r="B145" t="e">
        <f t="shared" si="2"/>
        <v>#N/A</v>
      </c>
      <c r="C145" t="s">
        <v>509</v>
      </c>
      <c r="D145" t="s">
        <v>510</v>
      </c>
      <c r="E145" t="s">
        <v>511</v>
      </c>
    </row>
    <row r="146" spans="1:5">
      <c r="A146">
        <v>1931</v>
      </c>
      <c r="B146" t="e">
        <f t="shared" si="2"/>
        <v>#N/A</v>
      </c>
      <c r="C146" t="s">
        <v>512</v>
      </c>
      <c r="D146" t="s">
        <v>513</v>
      </c>
      <c r="E146" t="s">
        <v>514</v>
      </c>
    </row>
    <row r="147" spans="1:5">
      <c r="A147">
        <v>1991</v>
      </c>
      <c r="B147" t="e">
        <f t="shared" si="2"/>
        <v>#N/A</v>
      </c>
      <c r="C147" t="s">
        <v>515</v>
      </c>
      <c r="D147" t="s">
        <v>516</v>
      </c>
      <c r="E147" t="s">
        <v>517</v>
      </c>
    </row>
    <row r="148" spans="1:5">
      <c r="A148">
        <v>1565</v>
      </c>
      <c r="B148" t="e">
        <f t="shared" si="2"/>
        <v>#N/A</v>
      </c>
      <c r="C148" t="s">
        <v>518</v>
      </c>
      <c r="D148" t="s">
        <v>519</v>
      </c>
      <c r="E148" t="s">
        <v>520</v>
      </c>
    </row>
    <row r="149" spans="1:5">
      <c r="A149">
        <v>1628</v>
      </c>
      <c r="B149" t="e">
        <f t="shared" si="2"/>
        <v>#N/A</v>
      </c>
      <c r="C149" t="s">
        <v>521</v>
      </c>
      <c r="D149" t="s">
        <v>522</v>
      </c>
      <c r="E149" t="s">
        <v>523</v>
      </c>
    </row>
    <row r="150" spans="1:5">
      <c r="A150">
        <v>1508</v>
      </c>
      <c r="B150" t="e">
        <f t="shared" si="2"/>
        <v>#N/A</v>
      </c>
      <c r="C150" t="s">
        <v>524</v>
      </c>
      <c r="D150" t="s">
        <v>525</v>
      </c>
      <c r="E150" t="s">
        <v>526</v>
      </c>
    </row>
    <row r="151" spans="1:5">
      <c r="A151">
        <v>1676</v>
      </c>
      <c r="B151" t="e">
        <f t="shared" si="2"/>
        <v>#N/A</v>
      </c>
      <c r="C151" t="s">
        <v>527</v>
      </c>
      <c r="D151" t="s">
        <v>528</v>
      </c>
      <c r="E151" t="s">
        <v>529</v>
      </c>
    </row>
    <row r="152" spans="1:5">
      <c r="A152">
        <v>1748</v>
      </c>
      <c r="B152" t="e">
        <f t="shared" si="2"/>
        <v>#N/A</v>
      </c>
      <c r="C152" t="s">
        <v>530</v>
      </c>
      <c r="D152" t="s">
        <v>531</v>
      </c>
      <c r="E152" t="s">
        <v>532</v>
      </c>
    </row>
    <row r="153" spans="1:5">
      <c r="A153">
        <v>1598</v>
      </c>
      <c r="B153" t="e">
        <f t="shared" si="2"/>
        <v>#N/A</v>
      </c>
      <c r="C153" t="s">
        <v>533</v>
      </c>
      <c r="D153" t="s">
        <v>534</v>
      </c>
      <c r="E153" t="s">
        <v>535</v>
      </c>
    </row>
    <row r="154" spans="1:5">
      <c r="A154">
        <v>1648</v>
      </c>
      <c r="B154" t="e">
        <f t="shared" si="2"/>
        <v>#N/A</v>
      </c>
      <c r="C154" t="s">
        <v>536</v>
      </c>
      <c r="D154" t="s">
        <v>537</v>
      </c>
      <c r="E154" t="s">
        <v>538</v>
      </c>
    </row>
    <row r="155" spans="1:5">
      <c r="A155">
        <v>1830</v>
      </c>
      <c r="B155" t="e">
        <f t="shared" si="2"/>
        <v>#N/A</v>
      </c>
      <c r="C155" t="s">
        <v>539</v>
      </c>
      <c r="D155" t="s">
        <v>540</v>
      </c>
      <c r="E155" t="s">
        <v>541</v>
      </c>
    </row>
    <row r="156" spans="1:5">
      <c r="A156">
        <v>1890</v>
      </c>
      <c r="B156" t="str">
        <f t="shared" si="2"/>
        <v>b61714f8-49d0-4381-bf4f-95544e25fc2e</v>
      </c>
      <c r="C156" t="s">
        <v>542</v>
      </c>
      <c r="D156" t="s">
        <v>543</v>
      </c>
      <c r="E156" t="s">
        <v>544</v>
      </c>
    </row>
    <row r="157" spans="1:5">
      <c r="A157">
        <v>1891</v>
      </c>
      <c r="B157" t="e">
        <f t="shared" si="2"/>
        <v>#N/A</v>
      </c>
      <c r="C157" t="s">
        <v>546</v>
      </c>
      <c r="D157" t="s">
        <v>547</v>
      </c>
      <c r="E157" t="s">
        <v>548</v>
      </c>
    </row>
    <row r="158" spans="1:5">
      <c r="A158">
        <v>1913</v>
      </c>
      <c r="B158" t="e">
        <f t="shared" si="2"/>
        <v>#N/A</v>
      </c>
      <c r="C158" t="s">
        <v>444</v>
      </c>
      <c r="D158" t="s">
        <v>549</v>
      </c>
      <c r="E158" t="s">
        <v>550</v>
      </c>
    </row>
    <row r="159" spans="1:5">
      <c r="A159">
        <v>1916</v>
      </c>
      <c r="B159" t="e">
        <f t="shared" si="2"/>
        <v>#N/A</v>
      </c>
      <c r="C159" t="s">
        <v>551</v>
      </c>
      <c r="D159" t="s">
        <v>552</v>
      </c>
      <c r="E159" t="s">
        <v>553</v>
      </c>
    </row>
    <row r="160" spans="1:5">
      <c r="A160">
        <v>1910</v>
      </c>
      <c r="B160" t="e">
        <f t="shared" si="2"/>
        <v>#N/A</v>
      </c>
      <c r="C160" t="s">
        <v>692</v>
      </c>
      <c r="D160" t="s">
        <v>693</v>
      </c>
      <c r="E160" t="s">
        <v>694</v>
      </c>
    </row>
    <row r="161" spans="1:5">
      <c r="A161">
        <v>1669</v>
      </c>
      <c r="B161" t="str">
        <f t="shared" si="2"/>
        <v>a09311ac-fbd2-4373-b0b7-a0382be079f3</v>
      </c>
      <c r="C161" t="s">
        <v>554</v>
      </c>
      <c r="D161" t="s">
        <v>555</v>
      </c>
      <c r="E161" t="s">
        <v>874</v>
      </c>
    </row>
    <row r="162" spans="1:5">
      <c r="A162">
        <v>1971</v>
      </c>
      <c r="B162" t="str">
        <f t="shared" si="2"/>
        <v>93f0f235-d7ed-4285-b921-30195e5bc1ef</v>
      </c>
      <c r="C162" t="s">
        <v>572</v>
      </c>
      <c r="D162" t="s">
        <v>573</v>
      </c>
      <c r="E162" t="s">
        <v>574</v>
      </c>
    </row>
    <row r="163" spans="1:5">
      <c r="A163">
        <v>1540</v>
      </c>
      <c r="B163" t="e">
        <f t="shared" si="2"/>
        <v>#N/A</v>
      </c>
      <c r="C163" t="s">
        <v>575</v>
      </c>
      <c r="D163" t="s">
        <v>576</v>
      </c>
      <c r="E163" t="s">
        <v>577</v>
      </c>
    </row>
    <row r="164" spans="1:5">
      <c r="A164">
        <v>1661</v>
      </c>
      <c r="B164" t="e">
        <f t="shared" si="2"/>
        <v>#N/A</v>
      </c>
      <c r="C164" t="s">
        <v>578</v>
      </c>
      <c r="D164" t="s">
        <v>579</v>
      </c>
      <c r="E164" t="s">
        <v>580</v>
      </c>
    </row>
    <row r="165" spans="1:5">
      <c r="A165">
        <v>1523</v>
      </c>
      <c r="B165" t="e">
        <f t="shared" si="2"/>
        <v>#N/A</v>
      </c>
      <c r="C165" t="s">
        <v>581</v>
      </c>
      <c r="D165" t="s">
        <v>582</v>
      </c>
      <c r="E165" t="s">
        <v>583</v>
      </c>
    </row>
    <row r="166" spans="1:5">
      <c r="A166">
        <v>1655</v>
      </c>
      <c r="B166" t="e">
        <f t="shared" si="2"/>
        <v>#N/A</v>
      </c>
      <c r="C166" t="s">
        <v>584</v>
      </c>
      <c r="D166" t="s">
        <v>585</v>
      </c>
      <c r="E166" t="s">
        <v>586</v>
      </c>
    </row>
    <row r="167" spans="1:5">
      <c r="A167">
        <v>1513</v>
      </c>
      <c r="B167" t="e">
        <f t="shared" si="2"/>
        <v>#N/A</v>
      </c>
      <c r="C167" t="s">
        <v>587</v>
      </c>
      <c r="D167" t="s">
        <v>588</v>
      </c>
      <c r="E167" t="s">
        <v>589</v>
      </c>
    </row>
    <row r="168" spans="1:5">
      <c r="A168">
        <v>1770</v>
      </c>
      <c r="B168" t="e">
        <f t="shared" si="2"/>
        <v>#N/A</v>
      </c>
      <c r="C168" t="s">
        <v>590</v>
      </c>
      <c r="D168" t="s">
        <v>591</v>
      </c>
      <c r="E168" t="s">
        <v>592</v>
      </c>
    </row>
    <row r="169" spans="1:5">
      <c r="A169">
        <v>1664</v>
      </c>
      <c r="B169" t="e">
        <f t="shared" si="2"/>
        <v>#N/A</v>
      </c>
      <c r="C169" t="s">
        <v>593</v>
      </c>
      <c r="D169" t="s">
        <v>594</v>
      </c>
      <c r="E169" t="s">
        <v>595</v>
      </c>
    </row>
    <row r="170" spans="1:5">
      <c r="A170">
        <v>1588</v>
      </c>
      <c r="B170" t="e">
        <f t="shared" si="2"/>
        <v>#N/A</v>
      </c>
      <c r="C170" t="s">
        <v>596</v>
      </c>
      <c r="D170" t="s">
        <v>597</v>
      </c>
      <c r="E170" t="s">
        <v>598</v>
      </c>
    </row>
    <row r="171" spans="1:5">
      <c r="A171">
        <v>1520</v>
      </c>
      <c r="B171" t="e">
        <f t="shared" si="2"/>
        <v>#N/A</v>
      </c>
      <c r="C171" t="s">
        <v>599</v>
      </c>
      <c r="D171" t="s">
        <v>600</v>
      </c>
      <c r="E171" t="s">
        <v>601</v>
      </c>
    </row>
    <row r="172" spans="1:5">
      <c r="A172">
        <v>1532</v>
      </c>
      <c r="B172" t="e">
        <f t="shared" si="2"/>
        <v>#N/A</v>
      </c>
      <c r="C172" t="s">
        <v>602</v>
      </c>
      <c r="D172" t="s">
        <v>603</v>
      </c>
      <c r="E172" t="s">
        <v>604</v>
      </c>
    </row>
    <row r="173" spans="1:5">
      <c r="A173">
        <v>1587</v>
      </c>
      <c r="B173" t="e">
        <f t="shared" si="2"/>
        <v>#N/A</v>
      </c>
      <c r="C173" t="s">
        <v>605</v>
      </c>
      <c r="D173" t="s">
        <v>606</v>
      </c>
      <c r="E173" t="s">
        <v>607</v>
      </c>
    </row>
    <row r="174" spans="1:5">
      <c r="A174">
        <v>1571</v>
      </c>
      <c r="B174" t="e">
        <f t="shared" si="2"/>
        <v>#N/A</v>
      </c>
      <c r="C174" t="s">
        <v>608</v>
      </c>
      <c r="D174" t="s">
        <v>609</v>
      </c>
      <c r="E174" t="s">
        <v>610</v>
      </c>
    </row>
    <row r="175" spans="1:5">
      <c r="A175">
        <v>1677</v>
      </c>
      <c r="B175" t="e">
        <f t="shared" si="2"/>
        <v>#N/A</v>
      </c>
      <c r="C175" t="s">
        <v>611</v>
      </c>
      <c r="D175" t="s">
        <v>612</v>
      </c>
      <c r="E175" t="s">
        <v>613</v>
      </c>
    </row>
    <row r="176" spans="1:5">
      <c r="A176">
        <v>1564</v>
      </c>
      <c r="B176" t="e">
        <f t="shared" si="2"/>
        <v>#N/A</v>
      </c>
      <c r="C176" t="s">
        <v>614</v>
      </c>
      <c r="D176" t="s">
        <v>615</v>
      </c>
      <c r="E176" t="s">
        <v>616</v>
      </c>
    </row>
    <row r="177" spans="1:5">
      <c r="A177">
        <v>1609</v>
      </c>
      <c r="B177" t="e">
        <f t="shared" si="2"/>
        <v>#N/A</v>
      </c>
      <c r="C177" t="s">
        <v>617</v>
      </c>
      <c r="D177" t="s">
        <v>618</v>
      </c>
      <c r="E177" t="s">
        <v>619</v>
      </c>
    </row>
    <row r="178" spans="1:5">
      <c r="A178">
        <v>1584</v>
      </c>
      <c r="B178" t="e">
        <f t="shared" si="2"/>
        <v>#N/A</v>
      </c>
      <c r="C178" t="s">
        <v>620</v>
      </c>
      <c r="D178" t="s">
        <v>621</v>
      </c>
      <c r="E178" t="s">
        <v>622</v>
      </c>
    </row>
    <row r="179" spans="1:5">
      <c r="A179">
        <v>1575</v>
      </c>
      <c r="B179" t="e">
        <f t="shared" si="2"/>
        <v>#N/A</v>
      </c>
      <c r="C179" t="s">
        <v>623</v>
      </c>
      <c r="D179" t="s">
        <v>624</v>
      </c>
      <c r="E179" t="s">
        <v>625</v>
      </c>
    </row>
    <row r="180" spans="1:5">
      <c r="A180">
        <v>1524</v>
      </c>
      <c r="B180" t="e">
        <f t="shared" si="2"/>
        <v>#N/A</v>
      </c>
      <c r="C180" t="s">
        <v>626</v>
      </c>
      <c r="D180" t="s">
        <v>627</v>
      </c>
      <c r="E180" t="s">
        <v>628</v>
      </c>
    </row>
    <row r="181" spans="1:5">
      <c r="A181">
        <v>1630</v>
      </c>
      <c r="B181" t="e">
        <f t="shared" si="2"/>
        <v>#N/A</v>
      </c>
      <c r="C181" t="s">
        <v>629</v>
      </c>
      <c r="D181" t="s">
        <v>630</v>
      </c>
      <c r="E181" t="s">
        <v>631</v>
      </c>
    </row>
    <row r="182" spans="1:5">
      <c r="A182">
        <v>1512</v>
      </c>
      <c r="B182" t="e">
        <f t="shared" si="2"/>
        <v>#N/A</v>
      </c>
      <c r="C182" t="s">
        <v>632</v>
      </c>
      <c r="D182" t="s">
        <v>633</v>
      </c>
      <c r="E182" t="s">
        <v>634</v>
      </c>
    </row>
    <row r="183" spans="1:5">
      <c r="A183">
        <v>1555</v>
      </c>
      <c r="B183" t="e">
        <f t="shared" si="2"/>
        <v>#N/A</v>
      </c>
      <c r="C183" t="s">
        <v>635</v>
      </c>
      <c r="D183" t="s">
        <v>636</v>
      </c>
      <c r="E183" t="s">
        <v>637</v>
      </c>
    </row>
    <row r="184" spans="1:5">
      <c r="A184">
        <v>1594</v>
      </c>
      <c r="B184" t="e">
        <f t="shared" si="2"/>
        <v>#N/A</v>
      </c>
      <c r="C184" t="s">
        <v>638</v>
      </c>
      <c r="D184" t="s">
        <v>639</v>
      </c>
      <c r="E184" t="s">
        <v>640</v>
      </c>
    </row>
    <row r="185" spans="1:5">
      <c r="A185">
        <v>1531</v>
      </c>
      <c r="B185" t="e">
        <f t="shared" si="2"/>
        <v>#N/A</v>
      </c>
      <c r="C185" t="s">
        <v>641</v>
      </c>
      <c r="D185" t="s">
        <v>642</v>
      </c>
      <c r="E185" t="s">
        <v>643</v>
      </c>
    </row>
    <row r="186" spans="1:5">
      <c r="A186">
        <v>1772</v>
      </c>
      <c r="B186" t="e">
        <f t="shared" si="2"/>
        <v>#N/A</v>
      </c>
      <c r="C186" t="s">
        <v>644</v>
      </c>
      <c r="D186" t="s">
        <v>645</v>
      </c>
      <c r="E186" t="s">
        <v>646</v>
      </c>
    </row>
    <row r="187" spans="1:5">
      <c r="A187">
        <v>1773</v>
      </c>
      <c r="B187" t="e">
        <f t="shared" si="2"/>
        <v>#N/A</v>
      </c>
      <c r="C187" t="s">
        <v>647</v>
      </c>
      <c r="D187" t="s">
        <v>648</v>
      </c>
      <c r="E187" t="s">
        <v>649</v>
      </c>
    </row>
    <row r="188" spans="1:5">
      <c r="A188">
        <v>1811</v>
      </c>
      <c r="B188" t="e">
        <f t="shared" si="2"/>
        <v>#N/A</v>
      </c>
      <c r="C188" t="s">
        <v>650</v>
      </c>
      <c r="D188" t="s">
        <v>651</v>
      </c>
      <c r="E188" t="s">
        <v>652</v>
      </c>
    </row>
    <row r="189" spans="1:5">
      <c r="A189">
        <v>1810</v>
      </c>
      <c r="B189" t="e">
        <f t="shared" si="2"/>
        <v>#N/A</v>
      </c>
      <c r="C189" t="s">
        <v>653</v>
      </c>
      <c r="D189" t="s">
        <v>654</v>
      </c>
      <c r="E189" t="s">
        <v>655</v>
      </c>
    </row>
    <row r="190" spans="1:5">
      <c r="A190">
        <v>1870</v>
      </c>
      <c r="B190" t="e">
        <f t="shared" si="2"/>
        <v>#N/A</v>
      </c>
      <c r="C190" t="s">
        <v>656</v>
      </c>
      <c r="D190" t="s">
        <v>657</v>
      </c>
      <c r="E190" t="s">
        <v>658</v>
      </c>
    </row>
    <row r="191" spans="1:5">
      <c r="A191">
        <v>1871</v>
      </c>
      <c r="B191" t="e">
        <f t="shared" si="2"/>
        <v>#N/A</v>
      </c>
      <c r="C191" t="s">
        <v>659</v>
      </c>
      <c r="D191" t="s">
        <v>660</v>
      </c>
      <c r="E191" t="s">
        <v>661</v>
      </c>
    </row>
    <row r="192" spans="1:5">
      <c r="A192">
        <v>1872</v>
      </c>
      <c r="B192" t="e">
        <f t="shared" si="2"/>
        <v>#N/A</v>
      </c>
      <c r="C192" t="s">
        <v>662</v>
      </c>
      <c r="D192" t="s">
        <v>663</v>
      </c>
      <c r="E192" t="s">
        <v>664</v>
      </c>
    </row>
    <row r="193" spans="1:5">
      <c r="A193">
        <v>1873</v>
      </c>
      <c r="B193" t="e">
        <f t="shared" si="2"/>
        <v>#N/A</v>
      </c>
      <c r="C193" t="s">
        <v>665</v>
      </c>
      <c r="D193" t="s">
        <v>666</v>
      </c>
      <c r="E193" t="s">
        <v>667</v>
      </c>
    </row>
    <row r="194" spans="1:5">
      <c r="A194">
        <v>1791</v>
      </c>
      <c r="B194" t="e">
        <f t="shared" si="2"/>
        <v>#N/A</v>
      </c>
      <c r="C194" t="s">
        <v>668</v>
      </c>
      <c r="D194" t="s">
        <v>669</v>
      </c>
      <c r="E194" t="s">
        <v>670</v>
      </c>
    </row>
    <row r="195" spans="1:5">
      <c r="A195">
        <v>1852</v>
      </c>
      <c r="B195" t="e">
        <f t="shared" si="2"/>
        <v>#N/A</v>
      </c>
      <c r="C195" t="s">
        <v>671</v>
      </c>
      <c r="D195" t="s">
        <v>672</v>
      </c>
      <c r="E195" t="s">
        <v>673</v>
      </c>
    </row>
    <row r="196" spans="1:5">
      <c r="A196">
        <v>1621</v>
      </c>
      <c r="B196" t="str">
        <f t="shared" si="2"/>
        <v>716336b8-0698-49d0-a65c-b5f45d724099</v>
      </c>
      <c r="C196" t="s">
        <v>674</v>
      </c>
      <c r="D196" t="s">
        <v>675</v>
      </c>
      <c r="E196" t="s">
        <v>676</v>
      </c>
    </row>
    <row r="197" spans="1:5">
      <c r="A197">
        <v>1850</v>
      </c>
      <c r="B197" t="e">
        <f t="shared" si="2"/>
        <v>#N/A</v>
      </c>
      <c r="C197" t="s">
        <v>677</v>
      </c>
      <c r="D197" t="s">
        <v>678</v>
      </c>
      <c r="E197" t="s">
        <v>679</v>
      </c>
    </row>
    <row r="198" spans="1:5">
      <c r="A198">
        <v>1875</v>
      </c>
      <c r="B198" t="e">
        <f t="shared" ref="B198:B208" si="3">VLOOKUP(E198,$K$5:$M$208,3,FALSE)</f>
        <v>#N/A</v>
      </c>
      <c r="C198" t="s">
        <v>680</v>
      </c>
      <c r="D198" t="s">
        <v>681</v>
      </c>
      <c r="E198" t="s">
        <v>682</v>
      </c>
    </row>
    <row r="199" spans="1:5">
      <c r="A199">
        <v>1510</v>
      </c>
      <c r="B199" t="e">
        <f t="shared" si="3"/>
        <v>#N/A</v>
      </c>
      <c r="C199" t="s">
        <v>683</v>
      </c>
      <c r="D199" t="s">
        <v>684</v>
      </c>
      <c r="E199" t="s">
        <v>685</v>
      </c>
    </row>
    <row r="200" spans="1:5">
      <c r="A200">
        <v>1874</v>
      </c>
      <c r="B200" t="e">
        <f t="shared" si="3"/>
        <v>#N/A</v>
      </c>
      <c r="C200" t="s">
        <v>686</v>
      </c>
      <c r="D200" t="s">
        <v>687</v>
      </c>
      <c r="E200" t="s">
        <v>688</v>
      </c>
    </row>
    <row r="201" spans="1:5">
      <c r="A201">
        <v>1876</v>
      </c>
      <c r="B201" t="e">
        <f t="shared" si="3"/>
        <v>#N/A</v>
      </c>
      <c r="C201" t="s">
        <v>689</v>
      </c>
      <c r="D201" t="s">
        <v>690</v>
      </c>
      <c r="E201" t="s">
        <v>691</v>
      </c>
    </row>
    <row r="202" spans="1:5">
      <c r="A202">
        <v>1918</v>
      </c>
      <c r="B202" t="e">
        <f t="shared" si="3"/>
        <v>#N/A</v>
      </c>
      <c r="C202" t="s">
        <v>695</v>
      </c>
      <c r="D202" t="s">
        <v>696</v>
      </c>
      <c r="E202" t="s">
        <v>697</v>
      </c>
    </row>
    <row r="203" spans="1:5">
      <c r="A203">
        <v>1914</v>
      </c>
      <c r="B203" t="e">
        <f t="shared" si="3"/>
        <v>#N/A</v>
      </c>
      <c r="C203" t="s">
        <v>77</v>
      </c>
      <c r="D203" t="s">
        <v>698</v>
      </c>
      <c r="E203" t="s">
        <v>699</v>
      </c>
    </row>
    <row r="204" spans="1:5">
      <c r="A204">
        <v>1919</v>
      </c>
      <c r="B204" t="e">
        <f t="shared" si="3"/>
        <v>#N/A</v>
      </c>
      <c r="C204" t="s">
        <v>700</v>
      </c>
      <c r="D204" t="s">
        <v>701</v>
      </c>
      <c r="E204" t="s">
        <v>703</v>
      </c>
    </row>
    <row r="205" spans="1:5">
      <c r="A205">
        <v>1917</v>
      </c>
      <c r="B205" t="e">
        <f t="shared" si="3"/>
        <v>#N/A</v>
      </c>
      <c r="C205" t="s">
        <v>712</v>
      </c>
      <c r="D205" t="s">
        <v>713</v>
      </c>
      <c r="E205" t="s">
        <v>714</v>
      </c>
    </row>
    <row r="206" spans="1:5">
      <c r="A206">
        <v>1920</v>
      </c>
      <c r="B206" t="e">
        <f t="shared" si="3"/>
        <v>#N/A</v>
      </c>
      <c r="C206" t="s">
        <v>715</v>
      </c>
      <c r="D206" t="s">
        <v>716</v>
      </c>
      <c r="E206" t="s">
        <v>717</v>
      </c>
    </row>
    <row r="207" spans="1:5">
      <c r="A207">
        <v>1951</v>
      </c>
      <c r="B207" t="e">
        <f t="shared" si="3"/>
        <v>#N/A</v>
      </c>
      <c r="C207" t="s">
        <v>718</v>
      </c>
      <c r="D207" t="s">
        <v>719</v>
      </c>
      <c r="E207" t="s">
        <v>720</v>
      </c>
    </row>
    <row r="208" spans="1:5">
      <c r="A208">
        <v>2011</v>
      </c>
      <c r="B208" t="str">
        <f t="shared" si="3"/>
        <v>27673064-8923-49ff-9a7a-8b93546ed67c</v>
      </c>
      <c r="C208" t="s">
        <v>721</v>
      </c>
      <c r="D208" t="s">
        <v>722</v>
      </c>
      <c r="E208" t="s">
        <v>724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94A4-DFF6-459B-84A4-4A87A723B6DC}">
  <dimension ref="C4:D7"/>
  <sheetViews>
    <sheetView workbookViewId="0">
      <selection activeCell="C7" sqref="C7"/>
    </sheetView>
  </sheetViews>
  <sheetFormatPr defaultRowHeight="15"/>
  <cols>
    <col min="2" max="2" width="10.28515625" bestFit="1" customWidth="1"/>
    <col min="3" max="3" width="25.28515625" customWidth="1"/>
    <col min="4" max="4" width="16.7109375" customWidth="1"/>
  </cols>
  <sheetData>
    <row r="4" spans="3:4">
      <c r="C4" t="s">
        <v>908</v>
      </c>
      <c r="D4" t="s">
        <v>905</v>
      </c>
    </row>
    <row r="5" spans="3:4">
      <c r="C5" t="s">
        <v>61</v>
      </c>
      <c r="D5" t="s">
        <v>906</v>
      </c>
    </row>
    <row r="6" spans="3:4">
      <c r="C6" t="s">
        <v>107</v>
      </c>
      <c r="D6" t="s">
        <v>907</v>
      </c>
    </row>
    <row r="7" spans="3:4">
      <c r="C7" t="s">
        <v>114</v>
      </c>
      <c r="D7" t="s">
        <v>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3430-1626-4C96-B3EA-1F5B3E14A14F}">
  <dimension ref="C6:D8"/>
  <sheetViews>
    <sheetView workbookViewId="0">
      <selection activeCell="D8" sqref="D8"/>
    </sheetView>
  </sheetViews>
  <sheetFormatPr defaultRowHeight="15"/>
  <cols>
    <col min="3" max="3" width="19.140625" customWidth="1"/>
    <col min="4" max="4" width="11.5703125" bestFit="1" customWidth="1"/>
  </cols>
  <sheetData>
    <row r="6" spans="3:4">
      <c r="C6" t="s">
        <v>60</v>
      </c>
      <c r="D6" t="s">
        <v>910</v>
      </c>
    </row>
    <row r="7" spans="3:4">
      <c r="C7" t="s">
        <v>71</v>
      </c>
      <c r="D7" t="s">
        <v>913</v>
      </c>
    </row>
    <row r="8" spans="3:4">
      <c r="C8" t="s">
        <v>912</v>
      </c>
      <c r="D8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BAOCAOKD.TBLNGUOIDUNG</vt:lpstr>
      <vt:lpstr>DMPHONGBAN</vt:lpstr>
      <vt:lpstr>DMCOQUANBO</vt:lpstr>
      <vt:lpstr>taikhoan</vt:lpstr>
      <vt:lpstr>tiemvacxin</vt:lpstr>
      <vt:lpstr>TinhTrangHonNhan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Pham Tien</cp:lastModifiedBy>
  <dcterms:created xsi:type="dcterms:W3CDTF">2023-02-10T03:03:12Z</dcterms:created>
  <dcterms:modified xsi:type="dcterms:W3CDTF">2023-02-21T02:20:01Z</dcterms:modified>
</cp:coreProperties>
</file>