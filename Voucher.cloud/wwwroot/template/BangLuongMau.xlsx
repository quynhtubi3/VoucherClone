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240" yWindow="120" windowWidth="14940" windowHeight="9225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3" i="1"/>
  <c r="Z3" s="1"/>
  <c r="AG3"/>
  <c r="V3"/>
  <c r="M3"/>
  <c r="AF3" s="1"/>
  <c r="AH3" l="1"/>
  <c r="Y3"/>
  <c r="X3"/>
  <c r="W3"/>
  <c r="AA3" l="1"/>
  <c r="AB3" s="1"/>
  <c r="AD3" s="1"/>
</calcChain>
</file>

<file path=xl/sharedStrings.xml><?xml version="1.0" encoding="utf-8"?>
<sst xmlns="http://schemas.openxmlformats.org/spreadsheetml/2006/main" count="37" uniqueCount="37">
  <si>
    <t>STT</t>
  </si>
  <si>
    <t>CONGTYID</t>
  </si>
  <si>
    <t>BẢNG LƯƠNG CÔNG TY</t>
  </si>
  <si>
    <t>SỐ TÀI KHOẢN</t>
  </si>
  <si>
    <t>NGÂN HÀNG</t>
  </si>
  <si>
    <t>BỘ PHẬN CÔNG TÁC</t>
  </si>
  <si>
    <t>HỌ VÀ TÊN</t>
  </si>
  <si>
    <t>CHỨC DANH</t>
  </si>
  <si>
    <t>TẠM ỨNG THÁNG</t>
  </si>
  <si>
    <t xml:space="preserve">LƯƠNG </t>
  </si>
  <si>
    <t>THƯỞNG HIỆU QUẢ</t>
  </si>
  <si>
    <t>PHỤ CẤP</t>
  </si>
  <si>
    <t>GIẢM TRỪ ĐỐI TƯỢNG NỘP THUẾ</t>
  </si>
  <si>
    <t>SỐ NGƯỜI PHỤ THUỘC</t>
  </si>
  <si>
    <t>GIẢM TRỪ GIA CẢNH</t>
  </si>
  <si>
    <t>KHẤU TRỪ</t>
  </si>
  <si>
    <t>TRỢ CẤP THÔI VIỆC</t>
  </si>
  <si>
    <t>THỰC LĨNH</t>
  </si>
  <si>
    <t>GHI CHÚ</t>
  </si>
  <si>
    <t>CHI PHÍ LƯƠNG + PHỤ CẤP</t>
  </si>
  <si>
    <t>CHI PHÍ
 BHXH, BHYT, BHTN, CĐ</t>
  </si>
  <si>
    <t>TỔNG CHI PHÍ NHÂN SỰ</t>
  </si>
  <si>
    <t>QUỸ LƯƠNG BHXH</t>
  </si>
  <si>
    <t>PC TRÁCH NHIỆM</t>
  </si>
  <si>
    <t>ĂN TRƯA</t>
  </si>
  <si>
    <t>ĐIỆN THOẠI</t>
  </si>
  <si>
    <t>VPP</t>
  </si>
  <si>
    <t>TRANG PHỤC</t>
  </si>
  <si>
    <t xml:space="preserve"> DỰ ÁN</t>
  </si>
  <si>
    <t>BHXH 
 (8%)</t>
  </si>
  <si>
    <t>BHYT
(1.5%)</t>
  </si>
  <si>
    <t>BHTN
(1%)</t>
  </si>
  <si>
    <t>CÔNG ĐOÀN PHÍ (1%)</t>
  </si>
  <si>
    <t>TỔNG THU NHẬP TÍNH THUẾ</t>
  </si>
  <si>
    <t>THUẾ TNCN</t>
  </si>
  <si>
    <t>NHANVIENID</t>
  </si>
  <si>
    <t>EMAIL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</si>
</sst>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\-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theme="0"/>
      <name val="Times New Roman"/>
      <family val="1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sz val="8"/>
      <color theme="0"/>
      <name val="Times New Roman"/>
      <family val="1"/>
    </font>
    <font>
      <sz val="10.5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2499465926084170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4659260841701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>
      <alignment horizontal="center" vertical="center" wrapText="1"/>
    </xf>
    <xf numFmtId="3" fontId="6" fillId="0" borderId="1" xfId="6" applyNumberFormat="1" applyFont="1" applyBorder="1" applyAlignment="1">
      <alignment horizontal="center" vertical="center"/>
    </xf>
    <xf numFmtId="164" fontId="7" fillId="3" borderId="1" xfId="4" applyNumberFormat="1" applyFont="1" applyFill="1" applyBorder="1" applyAlignment="1">
      <alignment vertical="center"/>
    </xf>
    <xf numFmtId="3" fontId="7" fillId="4" borderId="1" xfId="0" applyNumberFormat="1" applyFont="1" applyFill="1" applyBorder="1" applyAlignment="1">
      <alignment horizontal="right" vertical="center"/>
    </xf>
    <xf numFmtId="41" fontId="7" fillId="3" borderId="1" xfId="6" applyNumberFormat="1" applyFont="1" applyFill="1" applyBorder="1" applyAlignment="1">
      <alignment horizontal="right" vertical="center"/>
    </xf>
    <xf numFmtId="41" fontId="7" fillId="3" borderId="1" xfId="6" applyNumberFormat="1" applyFont="1" applyFill="1" applyBorder="1" applyAlignment="1">
      <alignment vertical="center"/>
    </xf>
    <xf numFmtId="3" fontId="7" fillId="4" borderId="1" xfId="0" applyNumberFormat="1" applyFont="1" applyFill="1" applyBorder="1" applyAlignment="1">
      <alignment vertical="center"/>
    </xf>
    <xf numFmtId="3" fontId="7" fillId="0" borderId="1" xfId="0" applyNumberFormat="1" applyFont="1" applyBorder="1" applyAlignment="1">
      <alignment vertical="center"/>
    </xf>
    <xf numFmtId="3" fontId="6" fillId="0" borderId="1" xfId="0" applyNumberFormat="1" applyFont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vertical="center"/>
    </xf>
    <xf numFmtId="0" fontId="7" fillId="3" borderId="1" xfId="6" applyFont="1" applyFill="1" applyBorder="1" applyAlignment="1">
      <alignment horizontal="left" vertical="center" wrapText="1"/>
    </xf>
    <xf numFmtId="3" fontId="6" fillId="0" borderId="1" xfId="6" applyNumberFormat="1" applyFont="1" applyBorder="1" applyAlignment="1">
      <alignment horizontal="left" vertical="center" wrapText="1"/>
    </xf>
    <xf numFmtId="3" fontId="9" fillId="0" borderId="1" xfId="7" applyNumberFormat="1" applyBorder="1" applyAlignment="1" applyProtection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/>
    </xf>
    <xf numFmtId="3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 applyProtection="1">
      <alignment horizontal="center" vertical="center"/>
      <protection locked="0"/>
    </xf>
    <xf numFmtId="0" fontId="5" fillId="6" borderId="1" xfId="0" applyFont="1" applyFill="1" applyBorder="1" applyAlignment="1">
      <alignment vertical="center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vertical="center" wrapText="1"/>
    </xf>
    <xf numFmtId="3" fontId="3" fillId="2" borderId="3" xfId="0" applyNumberFormat="1" applyFont="1" applyFill="1" applyBorder="1" applyAlignment="1" applyProtection="1">
      <alignment horizontal="center" vertical="center" wrapText="1"/>
      <protection locked="0"/>
    </xf>
    <xf numFmtId="3" fontId="3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" xfId="6" applyFont="1" applyFill="1" applyBorder="1" applyAlignment="1">
      <alignment horizontal="center" vertical="center" wrapText="1"/>
    </xf>
  </cellXfs>
  <cellStyles count="8">
    <cellStyle name="Comma" xfId="4"/>
    <cellStyle name="Comma [0]" xfId="5"/>
    <cellStyle name="Currency" xfId="2"/>
    <cellStyle name="Currency [0]" xfId="3"/>
    <cellStyle name="Hyperlink" xfId="7" builtinId="8"/>
    <cellStyle name="Normal" xfId="0" builtinId="0"/>
    <cellStyle name="Normal_Ky I HiSC" xfId="6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I3"/>
  <sheetViews>
    <sheetView tabSelected="1" workbookViewId="0">
      <selection activeCell="L3" sqref="L3"/>
    </sheetView>
  </sheetViews>
  <sheetFormatPr defaultColWidth="9" defaultRowHeight="15"/>
  <cols>
    <col min="1" max="1" width="5" customWidth="1"/>
    <col min="2" max="2" width="26.7109375" customWidth="1"/>
    <col min="3" max="4" width="8.7109375" hidden="1" customWidth="1"/>
    <col min="5" max="5" width="27.5703125" customWidth="1"/>
    <col min="6" max="6" width="14.28515625" customWidth="1"/>
    <col min="7" max="7" width="15.42578125" customWidth="1"/>
    <col min="8" max="8" width="30.28515625" customWidth="1"/>
    <col min="9" max="9" width="20.7109375" customWidth="1"/>
    <col min="10" max="10" width="17.42578125" customWidth="1"/>
    <col min="11" max="20" width="15.5703125" customWidth="1"/>
    <col min="22" max="35" width="15.5703125" customWidth="1"/>
  </cols>
  <sheetData>
    <row r="1" spans="1:35">
      <c r="A1" s="27" t="s">
        <v>0</v>
      </c>
      <c r="B1" s="29" t="s">
        <v>36</v>
      </c>
      <c r="C1" s="29" t="s">
        <v>1</v>
      </c>
      <c r="D1" s="29" t="s">
        <v>35</v>
      </c>
      <c r="E1" s="29" t="s">
        <v>2</v>
      </c>
      <c r="F1" s="29" t="s">
        <v>3</v>
      </c>
      <c r="G1" s="29" t="s">
        <v>4</v>
      </c>
      <c r="H1" s="29" t="s">
        <v>5</v>
      </c>
      <c r="I1" s="27" t="s">
        <v>6</v>
      </c>
      <c r="J1" s="31" t="s">
        <v>7</v>
      </c>
      <c r="K1" s="33" t="s">
        <v>8</v>
      </c>
      <c r="L1" s="35" t="s">
        <v>9</v>
      </c>
      <c r="M1" s="26" t="s">
        <v>10</v>
      </c>
      <c r="N1" s="18" t="s">
        <v>11</v>
      </c>
      <c r="O1" s="19"/>
      <c r="P1" s="19"/>
      <c r="Q1" s="19"/>
      <c r="R1" s="19"/>
      <c r="S1" s="20"/>
      <c r="T1" s="21" t="s">
        <v>12</v>
      </c>
      <c r="U1" s="21" t="s">
        <v>13</v>
      </c>
      <c r="V1" s="21" t="s">
        <v>14</v>
      </c>
      <c r="W1" s="21" t="s">
        <v>15</v>
      </c>
      <c r="X1" s="21"/>
      <c r="Y1" s="21"/>
      <c r="Z1" s="21"/>
      <c r="AA1" s="21"/>
      <c r="AB1" s="21"/>
      <c r="AC1" s="23" t="s">
        <v>16</v>
      </c>
      <c r="AD1" s="18" t="s">
        <v>17</v>
      </c>
      <c r="AE1" s="21" t="s">
        <v>18</v>
      </c>
      <c r="AF1" s="17" t="s">
        <v>19</v>
      </c>
      <c r="AG1" s="17" t="s">
        <v>20</v>
      </c>
      <c r="AH1" s="17" t="s">
        <v>21</v>
      </c>
      <c r="AI1" s="17" t="s">
        <v>22</v>
      </c>
    </row>
    <row r="2" spans="1:35" ht="21">
      <c r="A2" s="28"/>
      <c r="B2" s="30"/>
      <c r="C2" s="30"/>
      <c r="D2" s="30"/>
      <c r="E2" s="30"/>
      <c r="F2" s="30"/>
      <c r="G2" s="30"/>
      <c r="H2" s="30"/>
      <c r="I2" s="22"/>
      <c r="J2" s="32"/>
      <c r="K2" s="34"/>
      <c r="L2" s="22"/>
      <c r="M2" s="26"/>
      <c r="N2" s="1" t="s">
        <v>23</v>
      </c>
      <c r="O2" s="2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22"/>
      <c r="U2" s="22"/>
      <c r="V2" s="22"/>
      <c r="W2" s="1" t="s">
        <v>29</v>
      </c>
      <c r="X2" s="1" t="s">
        <v>30</v>
      </c>
      <c r="Y2" s="1" t="s">
        <v>31</v>
      </c>
      <c r="Z2" s="1" t="s">
        <v>32</v>
      </c>
      <c r="AA2" s="3" t="s">
        <v>33</v>
      </c>
      <c r="AB2" s="1" t="s">
        <v>34</v>
      </c>
      <c r="AC2" s="24"/>
      <c r="AD2" s="25"/>
      <c r="AE2" s="22"/>
      <c r="AF2" s="17"/>
      <c r="AG2" s="17"/>
      <c r="AH2" s="17"/>
      <c r="AI2" s="17"/>
    </row>
    <row r="3" spans="1:35">
      <c r="A3" s="4"/>
      <c r="B3" s="16"/>
      <c r="C3" s="15"/>
      <c r="D3" s="15"/>
      <c r="E3" s="15"/>
      <c r="F3" s="15"/>
      <c r="G3" s="15"/>
      <c r="H3" s="15"/>
      <c r="I3" s="14"/>
      <c r="J3" s="14"/>
      <c r="K3" s="5"/>
      <c r="L3" s="6"/>
      <c r="M3" s="5">
        <f t="shared" ref="M3" si="0">K3-L3</f>
        <v>0</v>
      </c>
      <c r="N3" s="7"/>
      <c r="O3" s="5">
        <v>730000</v>
      </c>
      <c r="P3" s="8"/>
      <c r="Q3" s="7">
        <v>50000</v>
      </c>
      <c r="R3" s="7">
        <v>400000</v>
      </c>
      <c r="S3" s="7"/>
      <c r="T3" s="9">
        <v>11000000</v>
      </c>
      <c r="U3" s="9"/>
      <c r="V3" s="9">
        <f t="shared" ref="V3" si="1">4400000*U3</f>
        <v>0</v>
      </c>
      <c r="W3" s="10">
        <f t="shared" ref="W3" si="2">AI3*8%</f>
        <v>384000</v>
      </c>
      <c r="X3" s="10">
        <f t="shared" ref="X3" si="3">AI3*1.5%</f>
        <v>72000</v>
      </c>
      <c r="Y3" s="10">
        <f t="shared" ref="Y3" si="4">AI3*1%</f>
        <v>48000</v>
      </c>
      <c r="Z3" s="10">
        <f t="shared" ref="Z3" si="5">AI3*1%</f>
        <v>48000</v>
      </c>
      <c r="AA3" s="11">
        <f t="shared" ref="AA3" si="6">SUM(L3:N3)+S3-T3-SUM(V3:Y3)</f>
        <v>-11504000</v>
      </c>
      <c r="AB3" s="5">
        <f t="shared" ref="AB3" si="7">ROUND(IF(AA3&gt;0,IF(AA3&gt;80000000,(AA3-80000000)*35%+18150000,IF(AA3&gt;52000000,(AA3-52000000)*30%+9750000,IF(AA3&gt;32000000,(AA3-32000000)*25%+4750000,IF(AA3&gt;18000000,(AA3-18000000)*20%+1950000,IF(AA3&gt;10000000,(AA3-10000000)*15%+750000,IF(AA3&gt;5000000,(AA3-5000000)*10%+250000,AA3*5%)))))),0),0)</f>
        <v>0</v>
      </c>
      <c r="AC3" s="5"/>
      <c r="AD3" s="12">
        <f t="shared" ref="AD3" si="8">ROUND(SUM(L3:S3)-SUM(W3:Z3)-AB3+AC3,0)</f>
        <v>628000</v>
      </c>
      <c r="AE3" s="13"/>
      <c r="AF3" s="12">
        <f t="shared" ref="AF3" si="9">SUM(L3:S3)</f>
        <v>1180000</v>
      </c>
      <c r="AG3" s="12">
        <f t="shared" ref="AG3" si="10">SUM(L3+N3)*23.5%</f>
        <v>0</v>
      </c>
      <c r="AH3" s="12">
        <f t="shared" ref="AH3" si="11">SUM(AF3:AG3)</f>
        <v>1180000</v>
      </c>
      <c r="AI3" s="12">
        <f t="shared" ref="AI3" si="12">IF(L3+N3&lt;4800000,4800000,MIN(29800000,L3+N3))</f>
        <v>4800000</v>
      </c>
    </row>
  </sheetData>
  <mergeCells count="25">
    <mergeCell ref="M1:M2"/>
    <mergeCell ref="A1:A2"/>
    <mergeCell ref="B1:B2"/>
    <mergeCell ref="C1:C2"/>
    <mergeCell ref="E1:E2"/>
    <mergeCell ref="F1:F2"/>
    <mergeCell ref="G1:G2"/>
    <mergeCell ref="H1:H2"/>
    <mergeCell ref="I1:I2"/>
    <mergeCell ref="J1:J2"/>
    <mergeCell ref="K1:K2"/>
    <mergeCell ref="L1:L2"/>
    <mergeCell ref="D1:D2"/>
    <mergeCell ref="AI1:AI2"/>
    <mergeCell ref="N1:S1"/>
    <mergeCell ref="T1:T2"/>
    <mergeCell ref="U1:U2"/>
    <mergeCell ref="V1:V2"/>
    <mergeCell ref="W1:AB1"/>
    <mergeCell ref="AC1:AC2"/>
    <mergeCell ref="AD1:AD2"/>
    <mergeCell ref="AE1:AE2"/>
    <mergeCell ref="AF1:AF2"/>
    <mergeCell ref="AG1:AG2"/>
    <mergeCell ref="AH1:AH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Nguyễn Tuấn Dương</dc:creator>
  <cp:keywords/>
  <dc:description/>
  <cp:lastModifiedBy>admin</cp:lastModifiedBy>
  <dcterms:created xsi:type="dcterms:W3CDTF">2021-05-27T03:03:20Z</dcterms:created>
  <dcterms:modified xsi:type="dcterms:W3CDTF">2022-06-08T08:36:33Z</dcterms:modified>
  <cp:category/>
  <cp:contentType/>
  <cp:contentStatus/>
</cp:coreProperties>
</file>