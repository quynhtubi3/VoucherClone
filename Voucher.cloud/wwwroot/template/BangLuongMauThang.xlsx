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/>
  </bookViews>
  <sheets>
    <sheet name="Sheet1" sheetId="1" r:id="rId1"/>
    <sheet name="XepLoai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1"/>
  <c r="AB3"/>
  <c r="AA3"/>
  <c r="Z3"/>
  <c r="Y3"/>
  <c r="X3"/>
  <c r="W3"/>
  <c r="V3"/>
  <c r="T3"/>
  <c r="AQ3" s="1"/>
  <c r="S3"/>
  <c r="AO3" l="1"/>
  <c r="AH3"/>
  <c r="AI3"/>
  <c r="AF3"/>
  <c r="AG3"/>
  <c r="U3"/>
  <c r="AN3" s="1"/>
  <c r="AP3" s="1"/>
  <c r="AJ3" l="1"/>
  <c r="AK3" s="1"/>
  <c r="AL3" s="1"/>
</calcChain>
</file>

<file path=xl/sharedStrings.xml><?xml version="1.0" encoding="utf-8"?>
<sst xmlns="http://schemas.openxmlformats.org/spreadsheetml/2006/main" count="54" uniqueCount="52">
  <si>
    <t>STT</t>
  </si>
  <si>
    <t>CONGTYID</t>
  </si>
  <si>
    <t>BẢNG LƯƠNG CÔNG TY</t>
  </si>
  <si>
    <t>SỐ TÀI KHOẢN</t>
  </si>
  <si>
    <t>NGÂN HÀNG</t>
  </si>
  <si>
    <t>BỘ PHẬN CÔNG TÁC</t>
  </si>
  <si>
    <t>HỌ VÀ TÊN</t>
  </si>
  <si>
    <t>CHỨC DANH</t>
  </si>
  <si>
    <t>TẠM ỨNG THÁNG</t>
  </si>
  <si>
    <t>THƯỞNG HIỆU QUẢ</t>
  </si>
  <si>
    <t>PHỤ CẤP</t>
  </si>
  <si>
    <t>GIẢM TRỪ ĐỐI TƯỢNG NỘP THUẾ</t>
  </si>
  <si>
    <t>SỐ NGƯỜI PHỤ THUỘC</t>
  </si>
  <si>
    <t>GIẢM TRỪ GIA CẢNH</t>
  </si>
  <si>
    <t>KHẤU TRỪ</t>
  </si>
  <si>
    <t>THỰC LĨNH</t>
  </si>
  <si>
    <t>GHI CHÚ</t>
  </si>
  <si>
    <t>CHI PHÍ LƯƠNG + PHỤ CẤP</t>
  </si>
  <si>
    <t>CHI PHÍ
 BHXH, BHYT, BHTN, CĐ</t>
  </si>
  <si>
    <t>TỔNG CHI PHÍ NHÂN SỰ</t>
  </si>
  <si>
    <t>QUỸ LƯƠNG BHXH</t>
  </si>
  <si>
    <t>PC TRÁCH NHIỆM</t>
  </si>
  <si>
    <t>ĂN TRƯA</t>
  </si>
  <si>
    <t>ĐIỆN THOẠI</t>
  </si>
  <si>
    <t>VPP</t>
  </si>
  <si>
    <t>TRANG PHỤC</t>
  </si>
  <si>
    <t xml:space="preserve"> DỰ ÁN</t>
  </si>
  <si>
    <t>BHXH 
 (8%)</t>
  </si>
  <si>
    <t>BHYT
(1.5%)</t>
  </si>
  <si>
    <t>BHTN
(1%)</t>
  </si>
  <si>
    <t>CÔNG ĐOÀN PHÍ (1%)</t>
  </si>
  <si>
    <t>TỔNG THU NHẬP TÍNH THUẾ</t>
  </si>
  <si>
    <t>THUẾ TNCN</t>
  </si>
  <si>
    <t>NHANVIENID</t>
  </si>
  <si>
    <t>EMAIL</t>
  </si>
  <si>
    <t>XẾP LOẠI</t>
  </si>
  <si>
    <t>NGÀY CÔNG TIÊU CHUẨN</t>
  </si>
  <si>
    <t>NGÀY CÔNG THỰC TẾ</t>
  </si>
  <si>
    <t>A</t>
  </si>
  <si>
    <t>B</t>
  </si>
  <si>
    <t>C</t>
  </si>
  <si>
    <t>D</t>
  </si>
  <si>
    <t>ĐIỀU CHỈNH TRƯỚC THUẾ 1</t>
  </si>
  <si>
    <t>ĐIỀU CHỈNH TRƯỚC THUẾ 2</t>
  </si>
  <si>
    <t>ĐIỀU CHỈNH SAU THUẾ 1</t>
  </si>
  <si>
    <t>ĐIỀU CHỈNH SAU THUẾ 2</t>
  </si>
  <si>
    <t>Column1</t>
  </si>
  <si>
    <t>Column2</t>
  </si>
  <si>
    <t>LƯƠNG TIÊU CHUẨN</t>
  </si>
  <si>
    <t>LƯƠNG THỰC TẾ</t>
  </si>
  <si>
    <t>E</t>
  </si>
  <si>
    <t/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</si>
</sst>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\-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sz val="8"/>
      <color theme="0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8855555894650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1607409894101"/>
        <bgColor indexed="64"/>
      </patternFill>
    </fill>
    <fill>
      <patternFill patternType="solid">
        <fgColor theme="8" tint="-0.2498855555894650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164" fontId="7" fillId="3" borderId="1" xfId="4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horizontal="right" vertical="center"/>
    </xf>
    <xf numFmtId="41" fontId="7" fillId="3" borderId="1" xfId="6" applyNumberFormat="1" applyFont="1" applyFill="1" applyBorder="1" applyAlignment="1">
      <alignment horizontal="right" vertical="center"/>
    </xf>
    <xf numFmtId="41" fontId="7" fillId="3" borderId="1" xfId="6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41" fontId="7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vertical="center"/>
    </xf>
    <xf numFmtId="0" fontId="7" fillId="3" borderId="1" xfId="6" applyFont="1" applyFill="1" applyBorder="1" applyAlignment="1">
      <alignment horizontal="left" vertical="center" wrapText="1"/>
    </xf>
    <xf numFmtId="3" fontId="6" fillId="0" borderId="1" xfId="6" applyNumberFormat="1" applyFont="1" applyBorder="1" applyAlignment="1">
      <alignment horizontal="left" vertical="center" wrapText="1"/>
    </xf>
    <xf numFmtId="3" fontId="6" fillId="0" borderId="1" xfId="6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6" fillId="0" borderId="1" xfId="6" applyNumberFormat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9" fontId="0" fillId="0" borderId="0" xfId="0" applyNumberFormat="1"/>
    <xf numFmtId="3" fontId="7" fillId="3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right" vertical="center"/>
    </xf>
    <xf numFmtId="3" fontId="0" fillId="3" borderId="1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>
      <alignment horizontal="center" vertical="center" wrapText="1"/>
    </xf>
    <xf numFmtId="3" fontId="6" fillId="0" borderId="8" xfId="6" applyNumberFormat="1" applyFont="1" applyBorder="1" applyAlignment="1">
      <alignment horizontal="center" vertical="center"/>
    </xf>
    <xf numFmtId="0" fontId="0" fillId="0" borderId="9" xfId="0" applyBorder="1"/>
    <xf numFmtId="0" fontId="2" fillId="7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3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2" fillId="7" borderId="4" xfId="0" applyFont="1" applyFill="1" applyBorder="1" applyAlignment="1" applyProtection="1">
      <alignment horizontal="center" vertical="center" wrapText="1"/>
      <protection locked="0"/>
    </xf>
    <xf numFmtId="0" fontId="2" fillId="7" borderId="5" xfId="0" applyFont="1" applyFill="1" applyBorder="1" applyAlignment="1" applyProtection="1">
      <alignment horizontal="center" vertical="center" wrapText="1"/>
      <protection locked="0"/>
    </xf>
    <xf numFmtId="0" fontId="2" fillId="7" borderId="4" xfId="0" applyFont="1" applyFill="1" applyBorder="1" applyAlignment="1" applyProtection="1">
      <alignment horizontal="center" vertical="center"/>
      <protection locked="0"/>
    </xf>
    <xf numFmtId="0" fontId="2" fillId="7" borderId="5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2" fillId="6" borderId="1" xfId="6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Ky I HiSC" xfId="6"/>
    <cellStyle name="Percent" xfId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6" totalsRowShown="0">
  <autoFilter ref="A1:B6"/>
  <tableColumns count="2">
    <tableColumn id="1" name="Column1"/>
    <tableColumn id="2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11" sqref="G11"/>
    </sheetView>
  </sheetViews>
  <sheetFormatPr defaultColWidth="9" defaultRowHeight="15"/>
  <cols>
    <col min="1" max="1" width="5" customWidth="1"/>
    <col min="2" max="2" width="26.5703125" customWidth="1"/>
    <col min="3" max="3" width="8.5703125" hidden="1" customWidth="1"/>
    <col min="4" max="4" width="9.7109375" hidden="1" customWidth="1"/>
    <col min="5" max="5" width="27.5703125" customWidth="1"/>
    <col min="6" max="6" width="12.28515625" customWidth="1"/>
    <col min="7" max="7" width="9.5703125" customWidth="1"/>
    <col min="8" max="8" width="30.28515625" customWidth="1"/>
    <col min="9" max="9" width="10.140625" style="14" customWidth="1"/>
    <col min="10" max="10" width="10.5703125" style="16" customWidth="1"/>
    <col min="11" max="11" width="10.5703125" customWidth="1"/>
    <col min="12" max="15" width="15.5703125" customWidth="1"/>
    <col min="16" max="16" width="24.42578125" customWidth="1"/>
    <col min="17" max="17" width="20.5703125" customWidth="1"/>
    <col min="18" max="18" width="17.42578125" customWidth="1"/>
    <col min="19" max="29" width="15.5703125" customWidth="1"/>
    <col min="30" max="30" width="10.42578125" customWidth="1"/>
    <col min="31" max="43" width="15.5703125" customWidth="1"/>
  </cols>
  <sheetData>
    <row r="1" spans="1:43" ht="14.45" customHeight="1">
      <c r="A1" s="28" t="s">
        <v>0</v>
      </c>
      <c r="B1" s="26" t="s">
        <v>34</v>
      </c>
      <c r="C1" s="26" t="s">
        <v>1</v>
      </c>
      <c r="D1" s="26" t="s">
        <v>33</v>
      </c>
      <c r="E1" s="26" t="s">
        <v>2</v>
      </c>
      <c r="F1" s="26" t="s">
        <v>3</v>
      </c>
      <c r="G1" s="26" t="s">
        <v>4</v>
      </c>
      <c r="H1" s="26" t="s">
        <v>5</v>
      </c>
      <c r="I1" s="26" t="s">
        <v>35</v>
      </c>
      <c r="J1" s="35" t="s">
        <v>36</v>
      </c>
      <c r="K1" s="35" t="s">
        <v>37</v>
      </c>
      <c r="L1" s="38" t="s">
        <v>42</v>
      </c>
      <c r="M1" s="38" t="s">
        <v>43</v>
      </c>
      <c r="N1" s="38" t="s">
        <v>44</v>
      </c>
      <c r="O1" s="38" t="s">
        <v>45</v>
      </c>
      <c r="P1" s="40" t="s">
        <v>16</v>
      </c>
      <c r="Q1" s="28" t="s">
        <v>6</v>
      </c>
      <c r="R1" s="30" t="s">
        <v>7</v>
      </c>
      <c r="S1" s="32" t="s">
        <v>8</v>
      </c>
      <c r="T1" s="43" t="s">
        <v>48</v>
      </c>
      <c r="U1" s="43" t="s">
        <v>49</v>
      </c>
      <c r="V1" s="45" t="s">
        <v>9</v>
      </c>
      <c r="W1" s="47" t="s">
        <v>10</v>
      </c>
      <c r="X1" s="48"/>
      <c r="Y1" s="48"/>
      <c r="Z1" s="48"/>
      <c r="AA1" s="48"/>
      <c r="AB1" s="49"/>
      <c r="AC1" s="50" t="s">
        <v>11</v>
      </c>
      <c r="AD1" s="50" t="s">
        <v>12</v>
      </c>
      <c r="AE1" s="50" t="s">
        <v>13</v>
      </c>
      <c r="AF1" s="50" t="s">
        <v>14</v>
      </c>
      <c r="AG1" s="50"/>
      <c r="AH1" s="50"/>
      <c r="AI1" s="50"/>
      <c r="AJ1" s="50"/>
      <c r="AK1" s="50"/>
      <c r="AL1" s="51" t="s">
        <v>15</v>
      </c>
      <c r="AM1" s="50" t="s">
        <v>16</v>
      </c>
      <c r="AN1" s="46" t="s">
        <v>17</v>
      </c>
      <c r="AO1" s="46" t="s">
        <v>18</v>
      </c>
      <c r="AP1" s="46" t="s">
        <v>19</v>
      </c>
      <c r="AQ1" s="46" t="s">
        <v>20</v>
      </c>
    </row>
    <row r="2" spans="1:43" ht="21">
      <c r="A2" s="42"/>
      <c r="B2" s="27"/>
      <c r="C2" s="27"/>
      <c r="D2" s="27"/>
      <c r="E2" s="27"/>
      <c r="F2" s="27"/>
      <c r="G2" s="27"/>
      <c r="H2" s="27"/>
      <c r="I2" s="34"/>
      <c r="J2" s="36"/>
      <c r="K2" s="37"/>
      <c r="L2" s="39"/>
      <c r="M2" s="39"/>
      <c r="N2" s="39"/>
      <c r="O2" s="39"/>
      <c r="P2" s="41"/>
      <c r="Q2" s="29"/>
      <c r="R2" s="31"/>
      <c r="S2" s="33"/>
      <c r="T2" s="44"/>
      <c r="U2" s="44"/>
      <c r="V2" s="45"/>
      <c r="W2" s="21" t="s">
        <v>21</v>
      </c>
      <c r="X2" s="22" t="s">
        <v>22</v>
      </c>
      <c r="Y2" s="21" t="s">
        <v>23</v>
      </c>
      <c r="Z2" s="21" t="s">
        <v>24</v>
      </c>
      <c r="AA2" s="21" t="s">
        <v>25</v>
      </c>
      <c r="AB2" s="21" t="s">
        <v>26</v>
      </c>
      <c r="AC2" s="29"/>
      <c r="AD2" s="29"/>
      <c r="AE2" s="29"/>
      <c r="AF2" s="23" t="s">
        <v>27</v>
      </c>
      <c r="AG2" s="23" t="s">
        <v>28</v>
      </c>
      <c r="AH2" s="23" t="s">
        <v>29</v>
      </c>
      <c r="AI2" s="23" t="s">
        <v>30</v>
      </c>
      <c r="AJ2" s="1" t="s">
        <v>31</v>
      </c>
      <c r="AK2" s="21" t="s">
        <v>32</v>
      </c>
      <c r="AL2" s="52"/>
      <c r="AM2" s="29"/>
      <c r="AN2" s="46"/>
      <c r="AO2" s="46"/>
      <c r="AP2" s="46"/>
      <c r="AQ2" s="46"/>
    </row>
    <row r="3" spans="1:43" s="25" customFormat="1">
      <c r="A3" s="24"/>
      <c r="B3" s="12"/>
      <c r="C3" s="12"/>
      <c r="D3" s="12"/>
      <c r="E3" s="12"/>
      <c r="F3" s="12" t="s">
        <v>51</v>
      </c>
      <c r="G3" s="12" t="s">
        <v>51</v>
      </c>
      <c r="H3" s="12"/>
      <c r="I3" s="13"/>
      <c r="J3" s="15"/>
      <c r="K3" s="15"/>
      <c r="L3" s="15"/>
      <c r="M3" s="15"/>
      <c r="N3" s="15"/>
      <c r="O3" s="15"/>
      <c r="P3" s="12"/>
      <c r="Q3" s="11"/>
      <c r="R3" s="11"/>
      <c r="S3" s="3">
        <f>0</f>
        <v>0</v>
      </c>
      <c r="T3" s="3">
        <f>0</f>
        <v>0</v>
      </c>
      <c r="U3" s="3" t="e">
        <f t="shared" ref="U3" si="0">T3*(K3/J3)</f>
        <v>#DIV/0!</v>
      </c>
      <c r="V3" s="20" t="e">
        <f>(K3/J3)*(S3-T3)*VLOOKUP(I3,XepLoai!$A$2:$B$6,2)</f>
        <v>#DIV/0!</v>
      </c>
      <c r="W3" s="4" t="e">
        <f t="shared" ref="W3" si="1">0*(K3/J3)</f>
        <v>#DIV/0!</v>
      </c>
      <c r="X3" s="2" t="e">
        <f t="shared" ref="X3" si="2">730000*(K3/J3)</f>
        <v>#DIV/0!</v>
      </c>
      <c r="Y3" s="5" t="e">
        <f t="shared" ref="Y3" si="3">0*(K3/J3)</f>
        <v>#DIV/0!</v>
      </c>
      <c r="Z3" s="4" t="e">
        <f t="shared" ref="Z3" si="4">50000*(K3/J3)</f>
        <v>#DIV/0!</v>
      </c>
      <c r="AA3" s="4" t="e">
        <f t="shared" ref="AA3" si="5">400000*(K3/J3)</f>
        <v>#DIV/0!</v>
      </c>
      <c r="AB3" s="4" t="e">
        <f t="shared" ref="AB3" si="6">0*(K3/J3)</f>
        <v>#DIV/0!</v>
      </c>
      <c r="AC3" s="3">
        <v>11000000</v>
      </c>
      <c r="AD3" s="18">
        <v>0</v>
      </c>
      <c r="AE3" s="6">
        <f t="shared" ref="AE3" si="7">4400000*AD3</f>
        <v>0</v>
      </c>
      <c r="AF3" s="7" t="e">
        <f t="shared" ref="AF3" si="8">AQ3*8%</f>
        <v>#DIV/0!</v>
      </c>
      <c r="AG3" s="8" t="e">
        <f t="shared" ref="AG3" si="9">AQ3*1.5%</f>
        <v>#DIV/0!</v>
      </c>
      <c r="AH3" s="8" t="e">
        <f t="shared" ref="AH3" si="10">AQ3*1%</f>
        <v>#DIV/0!</v>
      </c>
      <c r="AI3" s="8" t="e">
        <f t="shared" ref="AI3" si="11">AQ3*1%</f>
        <v>#DIV/0!</v>
      </c>
      <c r="AJ3" s="19" t="e">
        <f t="shared" ref="AJ3" si="12">SUM(U3:W3)+AB3-AC3-SUM(AE3:AH3)+SUM(L3:M3)</f>
        <v>#DIV/0!</v>
      </c>
      <c r="AK3" s="2" t="e">
        <f t="shared" ref="AK3" si="13">ROUND(IF(AJ3&gt;0,IF(AJ3&gt;80000000,(AJ3-80000000)*35%+18150000,IF(AJ3&gt;52000000,(AJ3-52000000)*30%+9750000,IF(AJ3&gt;32000000,(AJ3-32000000)*25%+4750000,IF(AJ3&gt;18000000,(AJ3-18000000)*20%+1950000,IF(AJ3&gt;10000000,(AJ3-10000000)*15%+750000,IF(AJ3&gt;5000000,(AJ3-5000000)*10%+250000,AJ3*5%)))))),0),0)</f>
        <v>#DIV/0!</v>
      </c>
      <c r="AL3" s="9" t="e">
        <f t="shared" ref="AL3" si="14">ROUND(SUM(U3:AB3)-SUM(AF3:AI3)-AK3+SUM(L3:O3),0)</f>
        <v>#DIV/0!</v>
      </c>
      <c r="AM3" s="10"/>
      <c r="AN3" s="9" t="e">
        <f t="shared" ref="AN3" si="15">SUM(U3:AB3)</f>
        <v>#DIV/0!</v>
      </c>
      <c r="AO3" s="9" t="e">
        <f t="shared" ref="AO3" si="16">SUM(T3+W3)*23.5%</f>
        <v>#DIV/0!</v>
      </c>
      <c r="AP3" s="9" t="e">
        <f t="shared" ref="AP3" si="17">SUM(AN3:AO3)</f>
        <v>#DIV/0!</v>
      </c>
      <c r="AQ3" s="9" t="e">
        <f t="shared" ref="AQ3" si="18">IF(T3+W3&lt;4800000,4800000,MIN(29800000,T3+W3))</f>
        <v>#DIV/0!</v>
      </c>
    </row>
  </sheetData>
  <mergeCells count="33">
    <mergeCell ref="T1:T2"/>
    <mergeCell ref="V1:V2"/>
    <mergeCell ref="U1:U2"/>
    <mergeCell ref="AQ1:AQ2"/>
    <mergeCell ref="W1:AB1"/>
    <mergeCell ref="AC1:AC2"/>
    <mergeCell ref="AD1:AD2"/>
    <mergeCell ref="AE1:AE2"/>
    <mergeCell ref="AF1:AK1"/>
    <mergeCell ref="AL1:AL2"/>
    <mergeCell ref="AM1:AM2"/>
    <mergeCell ref="AN1:AN2"/>
    <mergeCell ref="AO1:AO2"/>
    <mergeCell ref="AP1:AP2"/>
    <mergeCell ref="A1:A2"/>
    <mergeCell ref="B1:B2"/>
    <mergeCell ref="C1:C2"/>
    <mergeCell ref="E1:E2"/>
    <mergeCell ref="F1:F2"/>
    <mergeCell ref="D1:D2"/>
    <mergeCell ref="G1:G2"/>
    <mergeCell ref="H1:H2"/>
    <mergeCell ref="Q1:Q2"/>
    <mergeCell ref="R1:R2"/>
    <mergeCell ref="S1:S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pageSetup paperSize="9"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Thông báo" error="Cột xếp loại chỉ nhận các giá trị A, B, C, D. Không được để trống!" promptTitle="Xếp loại" prompt="Chọn xếp loại trong tháng từ danh sách" xr:uid="{538729CF-DAC8-48CA-9E8D-EF94CDC618D6}">
          <x14:formula1>
            <xm:f>XepLoai!$A$2:$A$5</xm:f>
          </x14:formula1>
          <xm:sqref>I3:I5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2" sqref="A2:B6"/>
    </sheetView>
  </sheetViews>
  <sheetFormatPr defaultColWidth="9" defaultRowHeight="15"/>
  <cols>
    <col min="1" max="2" width="10.42578125" customWidth="1"/>
  </cols>
  <sheetData>
    <row r="1" spans="1:2">
      <c r="A1" t="s">
        <v>46</v>
      </c>
      <c r="B1" s="17" t="s">
        <v>47</v>
      </c>
    </row>
    <row r="2" spans="1:2">
      <c r="A2" t="s">
        <v>38</v>
      </c>
      <c r="B2" s="17">
        <v>1</v>
      </c>
    </row>
    <row r="3" spans="1:2">
      <c r="A3" t="s">
        <v>39</v>
      </c>
      <c r="B3" s="17">
        <v>1</v>
      </c>
    </row>
    <row r="4" spans="1:2">
      <c r="A4" t="s">
        <v>40</v>
      </c>
      <c r="B4" s="17">
        <v>0.9</v>
      </c>
    </row>
    <row r="5" spans="1:2">
      <c r="A5" t="s">
        <v>41</v>
      </c>
      <c r="B5" s="17">
        <v>0.5</v>
      </c>
    </row>
    <row r="6" spans="1:2">
      <c r="A6" t="s">
        <v>50</v>
      </c>
      <c r="B6" s="17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XepLoai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Tuấn Dương</dc:creator>
  <cp:keywords/>
  <dc:description/>
  <cp:lastModifiedBy>admin</cp:lastModifiedBy>
  <dcterms:created xsi:type="dcterms:W3CDTF">2021-05-27T03:03:20Z</dcterms:created>
  <dcterms:modified xsi:type="dcterms:W3CDTF">2022-06-08T07:17:05Z</dcterms:modified>
  <cp:category/>
  <cp:contentType/>
  <cp:contentStatus/>
</cp:coreProperties>
</file>