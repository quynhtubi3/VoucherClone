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QLTTNB\New\Code\groupware.cloud\wwwroot\template\"/>
    </mc:Choice>
  </mc:AlternateContent>
  <xr:revisionPtr revIDLastSave="0" documentId="13_ncr:1_{4F75B165-E869-4FD2-9875-F9B348BC9F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XepLo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9" i="1" l="1"/>
  <c r="AS9" i="1"/>
  <c r="AR9" i="1"/>
  <c r="AT9" i="1" s="1"/>
  <c r="AT10" i="1" s="1"/>
  <c r="AT11" i="1" s="1"/>
  <c r="AK9" i="1"/>
  <c r="AJ9" i="1"/>
  <c r="AJ10" i="1" s="1"/>
  <c r="AJ11" i="1" s="1"/>
  <c r="AI9" i="1"/>
  <c r="AH9" i="1"/>
  <c r="AG9" i="1"/>
  <c r="AL9" i="1" s="1"/>
  <c r="AP20" i="1"/>
  <c r="Z20" i="1"/>
  <c r="Q20" i="1"/>
  <c r="AU10" i="1"/>
  <c r="AU11" i="1" s="1"/>
  <c r="AS10" i="1"/>
  <c r="AS11" i="1" s="1"/>
  <c r="AR10" i="1"/>
  <c r="AR11" i="1" s="1"/>
  <c r="AK10" i="1"/>
  <c r="AK11" i="1" s="1"/>
  <c r="AI10" i="1"/>
  <c r="AI11" i="1" s="1"/>
  <c r="AH10" i="1"/>
  <c r="AH11" i="1" s="1"/>
  <c r="AG10" i="1"/>
  <c r="AG11" i="1" s="1"/>
  <c r="AF10" i="1"/>
  <c r="AF11" i="1" s="1"/>
  <c r="AE10" i="1"/>
  <c r="AE11" i="1" s="1"/>
  <c r="AQ9" i="1"/>
  <c r="AO9" i="1"/>
  <c r="AN9" i="1"/>
  <c r="AD9" i="1"/>
  <c r="AC9" i="1"/>
  <c r="AC10" i="1" s="1"/>
  <c r="AC11" i="1" s="1"/>
  <c r="AB9" i="1"/>
  <c r="AB10" i="1" s="1"/>
  <c r="AB11" i="1" s="1"/>
  <c r="AA9" i="1"/>
  <c r="AA10" i="1" s="1"/>
  <c r="AA11" i="1" s="1"/>
  <c r="Z9" i="1"/>
  <c r="Y9" i="1"/>
  <c r="X9" i="1"/>
  <c r="W9" i="1"/>
  <c r="T9" i="1"/>
  <c r="T10" i="1" s="1"/>
  <c r="T11" i="1" s="1"/>
  <c r="S9" i="1"/>
  <c r="S10" i="1" s="1"/>
  <c r="S11" i="1" s="1"/>
  <c r="K9" i="1"/>
  <c r="J9" i="1"/>
  <c r="AM9" i="1" l="1"/>
  <c r="AM10" i="1" s="1"/>
  <c r="AM11" i="1" s="1"/>
  <c r="AL10" i="1"/>
  <c r="AL11" i="1" s="1"/>
  <c r="AN10" i="1"/>
  <c r="AN11" i="1" s="1"/>
  <c r="X10" i="1"/>
  <c r="X11" i="1" s="1"/>
  <c r="W10" i="1"/>
  <c r="W11" i="1" s="1"/>
  <c r="AD10" i="1"/>
  <c r="AD11" i="1" s="1"/>
  <c r="Y10" i="1"/>
  <c r="Y11" i="1" s="1"/>
  <c r="AO10" i="1"/>
  <c r="AO11" i="1" s="1"/>
  <c r="Z10" i="1"/>
  <c r="Z11" i="1" s="1"/>
  <c r="U9" i="1"/>
  <c r="V9" i="1"/>
  <c r="AP9" i="1" l="1"/>
  <c r="U10" i="1"/>
  <c r="U11" i="1" s="1"/>
  <c r="V10" i="1"/>
  <c r="V11" i="1" s="1"/>
  <c r="AP10" i="1" l="1"/>
  <c r="AP11" i="1" s="1"/>
  <c r="AV9" i="1"/>
  <c r="AV10" i="1" s="1"/>
  <c r="AV11" i="1" s="1"/>
</calcChain>
</file>

<file path=xl/sharedStrings.xml><?xml version="1.0" encoding="utf-8"?>
<sst xmlns="http://schemas.openxmlformats.org/spreadsheetml/2006/main" count="85" uniqueCount="77">
  <si>
    <t>STT</t>
  </si>
  <si>
    <t>CONGTYID</t>
  </si>
  <si>
    <t>BẢNG LƯƠNG CÔNG TY</t>
  </si>
  <si>
    <t>SỐ TÀI KHOẢN</t>
  </si>
  <si>
    <t>NGÂN HÀNG</t>
  </si>
  <si>
    <t>BỘ PHẬN CÔNG TÁC</t>
  </si>
  <si>
    <t>HỌ VÀ TÊN</t>
  </si>
  <si>
    <t>CHỨC DANH</t>
  </si>
  <si>
    <t>TẠM ỨNG THÁNG</t>
  </si>
  <si>
    <t>THƯỞNG HIỆU QUẢ</t>
  </si>
  <si>
    <t>PHỤ CẤP</t>
  </si>
  <si>
    <t>GIẢM TRỪ ĐỐI TƯỢNG NỘP THUẾ</t>
  </si>
  <si>
    <t>GIẢM TRỪ GIA CẢNH</t>
  </si>
  <si>
    <t>KHẤU TRỪ</t>
  </si>
  <si>
    <t>THỰC LĨNH</t>
  </si>
  <si>
    <t>GHI CHÚ</t>
  </si>
  <si>
    <t>CHI PHÍ LƯƠNG + PHỤ CẤP</t>
  </si>
  <si>
    <t>CHI PHÍ
 BHXH, BHYT, BHTN, CĐ</t>
  </si>
  <si>
    <t>TỔNG CHI PHÍ NHÂN SỰ</t>
  </si>
  <si>
    <t>QUỸ LƯƠNG BHXH</t>
  </si>
  <si>
    <t>ĂN TRƯA</t>
  </si>
  <si>
    <t>ĐIỆN THOẠI</t>
  </si>
  <si>
    <t>VPP</t>
  </si>
  <si>
    <t>TRANG PHỤC</t>
  </si>
  <si>
    <t>BHXH 
 (8%)</t>
  </si>
  <si>
    <t>BHYT
(1.5%)</t>
  </si>
  <si>
    <t>BHTN
(1%)</t>
  </si>
  <si>
    <t>CÔNG ĐOÀN PHÍ (1%)</t>
  </si>
  <si>
    <t>TỔNG THU NHẬP TÍNH THUẾ</t>
  </si>
  <si>
    <t>THUẾ TNCN</t>
  </si>
  <si>
    <t>NHANVIENID</t>
  </si>
  <si>
    <t>EMAIL</t>
  </si>
  <si>
    <t>XẾP LOẠI</t>
  </si>
  <si>
    <t>NGÀY CÔNG TIÊU CHUẨN</t>
  </si>
  <si>
    <t>NGÀY CÔNG THỰC TẾ</t>
  </si>
  <si>
    <t>A</t>
  </si>
  <si>
    <t>B</t>
  </si>
  <si>
    <t>C</t>
  </si>
  <si>
    <t>D</t>
  </si>
  <si>
    <t>ĐIỀU CHỈNH TRƯỚC THUẾ 1</t>
  </si>
  <si>
    <t>ĐIỀU CHỈNH TRƯỚC THUẾ 2</t>
  </si>
  <si>
    <t>ĐIỀU CHỈNH SAU THUẾ 1</t>
  </si>
  <si>
    <t>ĐIỀU CHỈNH SAU THUẾ 2</t>
  </si>
  <si>
    <t>Column1</t>
  </si>
  <si>
    <t>Column2</t>
  </si>
  <si>
    <t>1</t>
  </si>
  <si>
    <t>LƯƠNG TIÊU CHUẨN</t>
  </si>
  <si>
    <t>LƯƠNG THỰC TẾ</t>
  </si>
  <si>
    <t>TRÁCH NHIỆM</t>
  </si>
  <si>
    <t>KHÁC</t>
  </si>
  <si>
    <t>SỐ NGƯỜI GTGC</t>
  </si>
  <si>
    <t>Cộng:</t>
  </si>
  <si>
    <t>Tổng cộng:</t>
  </si>
  <si>
    <t>PHÊ DUYỆT</t>
  </si>
  <si>
    <t>TỔNG GIÁM ĐỐC</t>
  </si>
  <si>
    <t>Lê Hải Đoàn</t>
  </si>
  <si>
    <t>NGƯỜI XEM XÉT</t>
  </si>
  <si>
    <t>PHÓ PHÒNG HCNS</t>
  </si>
  <si>
    <t>Nguyễn Mỹ Linh</t>
  </si>
  <si>
    <t>NGƯỜI LẬP</t>
  </si>
  <si>
    <t>CÁN BỘ NHÂN SỰ</t>
  </si>
  <si>
    <t>Đỗ Hồng Minh</t>
  </si>
  <si>
    <t>DONG TONG NHOM</t>
  </si>
  <si>
    <t>DONG TONG CONG</t>
  </si>
  <si>
    <t>THỰC TRẢ KỲ 2</t>
  </si>
  <si>
    <t>E</t>
  </si>
  <si>
    <t>PHÒNG KINH DOANH HIPT PHẦN MỀM</t>
  </si>
  <si>
    <t>cuong-lq@hipt.vn</t>
  </si>
  <si>
    <t>125</t>
  </si>
  <si>
    <t>1628</t>
  </si>
  <si>
    <t>CÔNG TY TNHH HIPT PHẦN MỀM</t>
  </si>
  <si>
    <t>1100123456</t>
  </si>
  <si>
    <t>VCB</t>
  </si>
  <si>
    <t>CÔNG TY TNHH HIPT PHẦN MỀM - PHÒNG KINH DOANH HIPT PHẦN MỀM</t>
  </si>
  <si>
    <t/>
  </si>
  <si>
    <t>Lê Quí Cường</t>
  </si>
  <si>
    <t>Chuyên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</si>
</sst>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\-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Times New Roman"/>
      <family val="1"/>
    </font>
    <font>
      <b/>
      <sz val="8"/>
      <color indexed="9"/>
      <name val="Times New Roman"/>
      <family val="1"/>
    </font>
    <font>
      <sz val="8"/>
      <color theme="0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.5"/>
      <color indexed="12"/>
      <name val="Times New Roman"/>
      <family val="1"/>
    </font>
    <font>
      <b/>
      <i/>
      <sz val="10.5"/>
      <color indexed="10"/>
      <name val="Times New Roman"/>
      <family val="1"/>
    </font>
    <font>
      <b/>
      <i/>
      <sz val="11"/>
      <color rgb="FFFF0000"/>
      <name val="Times New Roman"/>
      <family val="1"/>
    </font>
    <font>
      <b/>
      <i/>
      <sz val="10.5"/>
      <color rgb="FFFF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8855555894650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8855555894650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1" xfId="6" applyNumberFormat="1" applyFont="1" applyBorder="1" applyAlignment="1">
      <alignment horizontal="center" vertical="center"/>
    </xf>
    <xf numFmtId="164" fontId="6" fillId="3" borderId="1" xfId="4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41" fontId="6" fillId="3" borderId="1" xfId="6" applyNumberFormat="1" applyFont="1" applyFill="1" applyBorder="1" applyAlignment="1">
      <alignment horizontal="right" vertical="center"/>
    </xf>
    <xf numFmtId="41" fontId="6" fillId="3" borderId="1" xfId="6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horizontal="right" vertical="center"/>
    </xf>
    <xf numFmtId="0" fontId="6" fillId="3" borderId="1" xfId="6" applyFont="1" applyFill="1" applyBorder="1" applyAlignment="1">
      <alignment horizontal="left" vertical="center" wrapText="1"/>
    </xf>
    <xf numFmtId="3" fontId="5" fillId="0" borderId="1" xfId="6" applyNumberFormat="1" applyFont="1" applyBorder="1" applyAlignment="1">
      <alignment horizontal="left" vertical="center" wrapText="1"/>
    </xf>
    <xf numFmtId="3" fontId="5" fillId="0" borderId="1" xfId="6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5" fillId="0" borderId="1" xfId="6" applyNumberFormat="1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9" fontId="0" fillId="0" borderId="0" xfId="0" applyNumberFormat="1"/>
    <xf numFmtId="3" fontId="6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164" fontId="11" fillId="3" borderId="1" xfId="4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164" fontId="11" fillId="4" borderId="1" xfId="4" applyNumberFormat="1" applyFont="1" applyFill="1" applyBorder="1" applyAlignment="1">
      <alignment vertical="center"/>
    </xf>
    <xf numFmtId="41" fontId="11" fillId="3" borderId="1" xfId="6" applyNumberFormat="1" applyFont="1" applyFill="1" applyBorder="1" applyAlignment="1">
      <alignment horizontal="right" vertical="center"/>
    </xf>
    <xf numFmtId="164" fontId="11" fillId="3" borderId="1" xfId="4" applyNumberFormat="1" applyFont="1" applyFill="1" applyBorder="1" applyAlignment="1">
      <alignment vertical="center"/>
    </xf>
    <xf numFmtId="41" fontId="11" fillId="3" borderId="1" xfId="6" applyNumberFormat="1" applyFont="1" applyFill="1" applyBorder="1" applyAlignment="1">
      <alignment vertical="center"/>
    </xf>
    <xf numFmtId="3" fontId="11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horizontal="right" vertical="center"/>
    </xf>
    <xf numFmtId="0" fontId="13" fillId="3" borderId="1" xfId="6" applyFont="1" applyFill="1" applyBorder="1" applyAlignment="1">
      <alignment horizontal="left" vertical="center" wrapText="1"/>
    </xf>
    <xf numFmtId="164" fontId="13" fillId="3" borderId="1" xfId="4" applyNumberFormat="1" applyFont="1" applyFill="1" applyBorder="1" applyAlignment="1">
      <alignment vertical="center"/>
    </xf>
    <xf numFmtId="3" fontId="13" fillId="3" borderId="1" xfId="0" applyNumberFormat="1" applyFont="1" applyFill="1" applyBorder="1" applyAlignment="1">
      <alignment horizontal="right" vertical="center"/>
    </xf>
    <xf numFmtId="164" fontId="13" fillId="4" borderId="1" xfId="4" applyNumberFormat="1" applyFont="1" applyFill="1" applyBorder="1" applyAlignment="1">
      <alignment vertical="center"/>
    </xf>
    <xf numFmtId="41" fontId="13" fillId="3" borderId="1" xfId="6" applyNumberFormat="1" applyFont="1" applyFill="1" applyBorder="1" applyAlignment="1">
      <alignment horizontal="right" vertical="center"/>
    </xf>
    <xf numFmtId="41" fontId="13" fillId="3" borderId="1" xfId="6" applyNumberFormat="1" applyFont="1" applyFill="1" applyBorder="1" applyAlignment="1">
      <alignment vertical="center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vertical="center"/>
    </xf>
    <xf numFmtId="3" fontId="13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5" fillId="0" borderId="1" xfId="6" applyNumberFormat="1" applyFont="1" applyBorder="1" applyAlignment="1">
      <alignment horizontal="left" vertical="center" wrapText="1"/>
    </xf>
    <xf numFmtId="0" fontId="11" fillId="4" borderId="1" xfId="0" applyNumberFormat="1" applyFont="1" applyFill="1" applyBorder="1" applyAlignment="1">
      <alignment vertical="center"/>
    </xf>
    <xf numFmtId="0" fontId="13" fillId="4" borderId="1" xfId="0" applyNumberFormat="1" applyFont="1" applyFill="1" applyBorder="1" applyAlignment="1">
      <alignment vertical="center"/>
    </xf>
    <xf numFmtId="49" fontId="5" fillId="0" borderId="1" xfId="6" applyNumberFormat="1" applyFont="1" applyBorder="1" applyAlignment="1">
      <alignment horizontal="left" vertical="center" wrapText="1"/>
    </xf>
    <xf numFmtId="0" fontId="8" fillId="5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/>
    <xf numFmtId="0" fontId="0" fillId="0" borderId="0" xfId="0" applyAlignment="1"/>
    <xf numFmtId="3" fontId="5" fillId="0" borderId="1" xfId="6" applyNumberFormat="1" applyFont="1" applyBorder="1" applyAlignment="1">
      <alignment horizontal="left" vertical="center"/>
    </xf>
    <xf numFmtId="3" fontId="0" fillId="3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2" fillId="7" borderId="10" xfId="0" applyFont="1" applyFill="1" applyBorder="1" applyAlignment="1" applyProtection="1">
      <alignment horizontal="center" vertical="center" wrapText="1"/>
      <protection locked="0"/>
    </xf>
    <xf numFmtId="0" fontId="2" fillId="7" borderId="11" xfId="0" applyFont="1" applyFill="1" applyBorder="1" applyAlignment="1" applyProtection="1">
      <alignment horizontal="center" vertical="center" wrapText="1"/>
      <protection locked="0"/>
    </xf>
    <xf numFmtId="0" fontId="2" fillId="7" borderId="10" xfId="0" applyFont="1" applyFill="1" applyBorder="1" applyAlignment="1" applyProtection="1">
      <alignment horizontal="center" vertical="center"/>
      <protection locked="0"/>
    </xf>
    <xf numFmtId="0" fontId="2" fillId="7" borderId="1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vertical="center"/>
    </xf>
    <xf numFmtId="41" fontId="6" fillId="0" borderId="1" xfId="6" applyNumberFormat="1" applyFont="1" applyFill="1" applyBorder="1" applyAlignment="1">
      <alignment horizontal="right" vertical="center"/>
    </xf>
    <xf numFmtId="3" fontId="6" fillId="0" borderId="1" xfId="6" applyNumberFormat="1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right" vertical="center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_Ky I HiSC" xfId="6" xr:uid="{00000000-0005-0000-0000-000005000000}"/>
    <cellStyle name="Percent" xfId="1" xr:uid="{00000000-0005-0000-0000-000006000000}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" totalsRowShown="0">
  <autoFilter ref="A1:B6" xr:uid="{00000000-0009-0000-0100-000001000000}"/>
  <tableColumns count="2">
    <tableColumn id="1" xr3:uid="{00000000-0010-0000-0000-000001000000}" name="Column1"/>
    <tableColumn id="2" xr3:uid="{00000000-0010-0000-0000-00000200000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20"/>
  <sheetViews>
    <sheetView tabSelected="1" workbookViewId="0">
      <pane xSplit="17" ySplit="1" topLeftCell="R2" activePane="bottomRight" state="frozen"/>
      <selection pane="topRight" activeCell="R1" sqref="R1"/>
      <selection pane="bottomLeft" activeCell="A2" sqref="A2"/>
      <selection pane="bottomRight" activeCell="R2" sqref="R2"/>
    </sheetView>
  </sheetViews>
  <sheetFormatPr defaultColWidth="9" defaultRowHeight="15" x14ac:dyDescent="0.25"/>
  <cols>
    <col min="1" max="1" width="5" customWidth="1"/>
    <col min="2" max="2" width="13.7109375" style="50" hidden="1" customWidth="1"/>
    <col min="3" max="3" width="8.5703125" hidden="1" customWidth="1"/>
    <col min="4" max="4" width="9.7109375" hidden="1" customWidth="1"/>
    <col min="5" max="5" width="13.42578125" style="50" hidden="1" customWidth="1"/>
    <col min="6" max="6" width="12.28515625" hidden="1" customWidth="1"/>
    <col min="7" max="7" width="9.5703125" hidden="1" customWidth="1"/>
    <col min="8" max="8" width="13.42578125" style="50" hidden="1" customWidth="1"/>
    <col min="9" max="9" width="10.140625" style="12" hidden="1" customWidth="1"/>
    <col min="10" max="10" width="10.5703125" style="14" hidden="1" customWidth="1"/>
    <col min="11" max="11" width="10.5703125" hidden="1" customWidth="1"/>
    <col min="12" max="13" width="12.140625" hidden="1" customWidth="1"/>
    <col min="14" max="14" width="12.85546875" hidden="1" customWidth="1"/>
    <col min="15" max="15" width="13.42578125" hidden="1" customWidth="1"/>
    <col min="16" max="16" width="12.140625" hidden="1" customWidth="1"/>
    <col min="17" max="17" width="20.5703125" customWidth="1"/>
    <col min="18" max="18" width="17.42578125" customWidth="1"/>
    <col min="19" max="30" width="15.5703125" customWidth="1"/>
    <col min="31" max="31" width="13.85546875" hidden="1" customWidth="1"/>
    <col min="33" max="33" width="14.28515625" customWidth="1"/>
    <col min="34" max="47" width="15.5703125" customWidth="1"/>
    <col min="48" max="48" width="15.42578125" customWidth="1"/>
  </cols>
  <sheetData>
    <row r="1" spans="1:48" ht="22.5" customHeight="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3" spans="1:48" ht="20.25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</row>
    <row r="4" spans="1:48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</row>
    <row r="5" spans="1:48" ht="25.5" customHeight="1" x14ac:dyDescent="0.25"/>
    <row r="6" spans="1:48" ht="14.45" customHeight="1" x14ac:dyDescent="0.25">
      <c r="A6" s="62" t="s">
        <v>0</v>
      </c>
      <c r="B6" s="60" t="s">
        <v>31</v>
      </c>
      <c r="C6" s="60" t="s">
        <v>1</v>
      </c>
      <c r="D6" s="60" t="s">
        <v>30</v>
      </c>
      <c r="E6" s="60" t="s">
        <v>2</v>
      </c>
      <c r="F6" s="60" t="s">
        <v>3</v>
      </c>
      <c r="G6" s="60" t="s">
        <v>4</v>
      </c>
      <c r="H6" s="60" t="s">
        <v>5</v>
      </c>
      <c r="I6" s="60" t="s">
        <v>32</v>
      </c>
      <c r="J6" s="67" t="s">
        <v>33</v>
      </c>
      <c r="K6" s="67" t="s">
        <v>34</v>
      </c>
      <c r="L6" s="70" t="s">
        <v>39</v>
      </c>
      <c r="M6" s="70" t="s">
        <v>40</v>
      </c>
      <c r="N6" s="70" t="s">
        <v>41</v>
      </c>
      <c r="O6" s="70" t="s">
        <v>42</v>
      </c>
      <c r="P6" s="72" t="s">
        <v>15</v>
      </c>
      <c r="Q6" s="62" t="s">
        <v>6</v>
      </c>
      <c r="R6" s="64" t="s">
        <v>7</v>
      </c>
      <c r="S6" s="64" t="s">
        <v>8</v>
      </c>
      <c r="T6" s="64" t="s">
        <v>46</v>
      </c>
      <c r="U6" s="64" t="s">
        <v>47</v>
      </c>
      <c r="V6" s="78" t="s">
        <v>9</v>
      </c>
      <c r="W6" s="79" t="s">
        <v>10</v>
      </c>
      <c r="X6" s="80"/>
      <c r="Y6" s="80"/>
      <c r="Z6" s="80"/>
      <c r="AA6" s="80"/>
      <c r="AB6" s="81"/>
      <c r="AC6" s="56" t="s">
        <v>39</v>
      </c>
      <c r="AD6" s="56" t="s">
        <v>40</v>
      </c>
      <c r="AE6" s="77" t="s">
        <v>11</v>
      </c>
      <c r="AF6" s="77" t="s">
        <v>50</v>
      </c>
      <c r="AG6" s="77" t="s">
        <v>12</v>
      </c>
      <c r="AH6" s="77" t="s">
        <v>13</v>
      </c>
      <c r="AI6" s="77"/>
      <c r="AJ6" s="77"/>
      <c r="AK6" s="77"/>
      <c r="AL6" s="77"/>
      <c r="AM6" s="77"/>
      <c r="AN6" s="56" t="s">
        <v>41</v>
      </c>
      <c r="AO6" s="56" t="s">
        <v>42</v>
      </c>
      <c r="AP6" s="77" t="s">
        <v>14</v>
      </c>
      <c r="AQ6" s="77" t="s">
        <v>15</v>
      </c>
      <c r="AR6" s="77" t="s">
        <v>16</v>
      </c>
      <c r="AS6" s="77" t="s">
        <v>17</v>
      </c>
      <c r="AT6" s="77" t="s">
        <v>18</v>
      </c>
      <c r="AU6" s="77" t="s">
        <v>19</v>
      </c>
      <c r="AV6" s="77" t="s">
        <v>64</v>
      </c>
    </row>
    <row r="7" spans="1:48" ht="21" x14ac:dyDescent="0.25">
      <c r="A7" s="74"/>
      <c r="B7" s="61"/>
      <c r="C7" s="61"/>
      <c r="D7" s="61"/>
      <c r="E7" s="61"/>
      <c r="F7" s="61"/>
      <c r="G7" s="61"/>
      <c r="H7" s="61"/>
      <c r="I7" s="66"/>
      <c r="J7" s="68"/>
      <c r="K7" s="69"/>
      <c r="L7" s="71"/>
      <c r="M7" s="71"/>
      <c r="N7" s="71"/>
      <c r="O7" s="71"/>
      <c r="P7" s="73"/>
      <c r="Q7" s="63"/>
      <c r="R7" s="65"/>
      <c r="S7" s="65"/>
      <c r="T7" s="65"/>
      <c r="U7" s="65"/>
      <c r="V7" s="78"/>
      <c r="W7" s="1" t="s">
        <v>48</v>
      </c>
      <c r="X7" s="2" t="s">
        <v>20</v>
      </c>
      <c r="Y7" s="1" t="s">
        <v>21</v>
      </c>
      <c r="Z7" s="1" t="s">
        <v>22</v>
      </c>
      <c r="AA7" s="1" t="s">
        <v>23</v>
      </c>
      <c r="AB7" s="1" t="s">
        <v>49</v>
      </c>
      <c r="AC7" s="57"/>
      <c r="AD7" s="57"/>
      <c r="AE7" s="63"/>
      <c r="AF7" s="63"/>
      <c r="AG7" s="63"/>
      <c r="AH7" s="17" t="s">
        <v>24</v>
      </c>
      <c r="AI7" s="18" t="s">
        <v>25</v>
      </c>
      <c r="AJ7" s="18" t="s">
        <v>26</v>
      </c>
      <c r="AK7" s="18" t="s">
        <v>27</v>
      </c>
      <c r="AL7" s="19" t="s">
        <v>28</v>
      </c>
      <c r="AM7" s="1" t="s">
        <v>29</v>
      </c>
      <c r="AN7" s="57"/>
      <c r="AO7" s="57"/>
      <c r="AP7" s="63"/>
      <c r="AQ7" s="63"/>
      <c r="AR7" s="63"/>
      <c r="AS7" s="63"/>
      <c r="AT7" s="63"/>
      <c r="AU7" s="63"/>
      <c r="AV7" s="63"/>
    </row>
    <row r="8" spans="1:48" ht="18" customHeight="1" x14ac:dyDescent="0.25">
      <c r="A8" s="75" t="s">
        <v>66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</row>
    <row r="9" spans="1:48" x14ac:dyDescent="0.25">
      <c r="A9" s="3" t="s">
        <v>45</v>
      </c>
      <c r="B9" s="51" t="s">
        <v>67</v>
      </c>
      <c r="C9" s="10" t="s">
        <v>68</v>
      </c>
      <c r="D9" s="10" t="s">
        <v>69</v>
      </c>
      <c r="E9" s="51" t="s">
        <v>70</v>
      </c>
      <c r="F9" s="10" t="s">
        <v>71</v>
      </c>
      <c r="G9" s="10" t="s">
        <v>72</v>
      </c>
      <c r="H9" s="51" t="s">
        <v>73</v>
      </c>
      <c r="I9" s="11" t="s">
        <v>35</v>
      </c>
      <c r="J9" s="13">
        <f>23</f>
        <v>23</v>
      </c>
      <c r="K9" s="13">
        <f>20</f>
        <v>20</v>
      </c>
      <c r="L9" s="13">
        <v>1000000</v>
      </c>
      <c r="M9" s="13">
        <v>0</v>
      </c>
      <c r="N9" s="13">
        <v>0</v>
      </c>
      <c r="O9" s="13">
        <v>0</v>
      </c>
      <c r="P9" s="43" t="s">
        <v>74</v>
      </c>
      <c r="Q9" s="9" t="s">
        <v>75</v>
      </c>
      <c r="R9" s="9" t="s">
        <v>76</v>
      </c>
      <c r="S9" s="4">
        <f>18000000</f>
        <v>18000000</v>
      </c>
      <c r="T9" s="4">
        <f>7000000</f>
        <v>7000000</v>
      </c>
      <c r="U9" s="5">
        <f t="shared" ref="U9" si="0">T9*(K9/J9)</f>
        <v>6086956.5217391299</v>
      </c>
      <c r="V9" s="52">
        <f>(K9/J9)*(S9-T9)*VLOOKUP(I9,XepLoai!$A$2:$B$6,2)</f>
        <v>9565217.3913043477</v>
      </c>
      <c r="W9" s="6">
        <f>0</f>
        <v>0</v>
      </c>
      <c r="X9" s="4">
        <f>634783</f>
        <v>634783</v>
      </c>
      <c r="Y9" s="7">
        <f>434783</f>
        <v>434783</v>
      </c>
      <c r="Z9" s="6">
        <f>43478</f>
        <v>43478</v>
      </c>
      <c r="AA9" s="6">
        <f>347826</f>
        <v>347826</v>
      </c>
      <c r="AB9" s="6">
        <f>0</f>
        <v>0</v>
      </c>
      <c r="AC9" s="6">
        <f t="shared" ref="AC9:AD9" si="1">L9</f>
        <v>1000000</v>
      </c>
      <c r="AD9" s="6">
        <f t="shared" si="1"/>
        <v>0</v>
      </c>
      <c r="AE9" s="5">
        <v>11000000</v>
      </c>
      <c r="AF9" s="16">
        <v>2</v>
      </c>
      <c r="AG9" s="82">
        <f>4400000*AF9</f>
        <v>8800000</v>
      </c>
      <c r="AH9" s="83">
        <f>AU9*8%</f>
        <v>560000</v>
      </c>
      <c r="AI9" s="83">
        <f>AU9*1.5%</f>
        <v>105000</v>
      </c>
      <c r="AJ9" s="83">
        <f>AU9*1%</f>
        <v>70000</v>
      </c>
      <c r="AK9" s="83">
        <f>AU9*1%</f>
        <v>70000</v>
      </c>
      <c r="AL9" s="83">
        <f>SUM(U9:W9)+AB9-AE9-SUM(AG9:AJ9)+SUM(L9:M9)</f>
        <v>-3882826.0869565234</v>
      </c>
      <c r="AM9" s="83">
        <f>ROUND(IF(AL9&gt;0,IF(AL9&gt;80000000,(AL9-80000000)*35%+18150000,IF(AL9&gt;52000000,(AL9-52000000)*30%+9750000,IF(AL9&gt;32000000,(AL9-32000000)*25%+4750000,IF(AL9&gt;18000000,(AL9-18000000)*20%+1950000,IF(AL9&gt;10000000,(AL9-10000000)*15%+750000,IF(AL9&gt;5000000,(AL9-5000000)*10%+250000,AL9*5%)))))),0),0)</f>
        <v>0</v>
      </c>
      <c r="AN9" s="6">
        <f t="shared" ref="AN9:AO9" si="2">N9</f>
        <v>0</v>
      </c>
      <c r="AO9" s="6">
        <f t="shared" si="2"/>
        <v>0</v>
      </c>
      <c r="AP9" s="84">
        <f>ROUND(SUM(U9:AB9)-SUM(AH9:AK9)-AM9+SUM(L9:O9),0)</f>
        <v>17308044</v>
      </c>
      <c r="AQ9" s="85" t="str">
        <f t="shared" ref="AQ9" si="3">""&amp;P9</f>
        <v/>
      </c>
      <c r="AR9" s="86">
        <f>SUM(U9:AB9)</f>
        <v>17113043.913043477</v>
      </c>
      <c r="AS9" s="86">
        <f>SUM(T9+W9)*23.5%</f>
        <v>1645000</v>
      </c>
      <c r="AT9" s="86">
        <f>SUM(AR9:AS9)</f>
        <v>18758043.913043477</v>
      </c>
      <c r="AU9" s="86">
        <f>IF(T9+W9&lt;4800000,4800000,MIN(29800000,T9+W9))</f>
        <v>7000000</v>
      </c>
      <c r="AV9" s="8">
        <f>AP9-17308043</f>
        <v>1</v>
      </c>
    </row>
    <row r="10" spans="1:48" x14ac:dyDescent="0.25">
      <c r="A10" s="3"/>
      <c r="B10" s="51" t="s">
        <v>62</v>
      </c>
      <c r="C10" s="10"/>
      <c r="D10" s="10"/>
      <c r="E10" s="51"/>
      <c r="F10" s="10"/>
      <c r="G10" s="10"/>
      <c r="H10" s="51"/>
      <c r="I10" s="11" t="s">
        <v>35</v>
      </c>
      <c r="J10" s="13"/>
      <c r="K10" s="13"/>
      <c r="L10" s="13"/>
      <c r="M10" s="13"/>
      <c r="N10" s="13"/>
      <c r="O10" s="13"/>
      <c r="P10" s="40"/>
      <c r="Q10" s="20" t="s">
        <v>51</v>
      </c>
      <c r="R10" s="9"/>
      <c r="S10" s="21">
        <f t="shared" ref="S10:AP10" si="4">SUM(S9:S9)</f>
        <v>18000000</v>
      </c>
      <c r="T10" s="21">
        <f t="shared" si="4"/>
        <v>7000000</v>
      </c>
      <c r="U10" s="22">
        <f t="shared" si="4"/>
        <v>6086956.5217391299</v>
      </c>
      <c r="V10" s="23">
        <f t="shared" si="4"/>
        <v>9565217.3913043477</v>
      </c>
      <c r="W10" s="24">
        <f t="shared" si="4"/>
        <v>0</v>
      </c>
      <c r="X10" s="25">
        <f t="shared" si="4"/>
        <v>634783</v>
      </c>
      <c r="Y10" s="26">
        <f t="shared" si="4"/>
        <v>434783</v>
      </c>
      <c r="Z10" s="24">
        <f t="shared" si="4"/>
        <v>43478</v>
      </c>
      <c r="AA10" s="24">
        <f t="shared" si="4"/>
        <v>347826</v>
      </c>
      <c r="AB10" s="24">
        <f t="shared" si="4"/>
        <v>0</v>
      </c>
      <c r="AC10" s="24">
        <f t="shared" si="4"/>
        <v>1000000</v>
      </c>
      <c r="AD10" s="24">
        <f t="shared" si="4"/>
        <v>0</v>
      </c>
      <c r="AE10" s="22">
        <f t="shared" si="4"/>
        <v>11000000</v>
      </c>
      <c r="AF10" s="27">
        <f t="shared" si="4"/>
        <v>2</v>
      </c>
      <c r="AG10" s="28">
        <f t="shared" si="4"/>
        <v>8800000</v>
      </c>
      <c r="AH10" s="24">
        <f t="shared" si="4"/>
        <v>560000</v>
      </c>
      <c r="AI10" s="24">
        <f t="shared" si="4"/>
        <v>105000</v>
      </c>
      <c r="AJ10" s="24">
        <f t="shared" si="4"/>
        <v>70000</v>
      </c>
      <c r="AK10" s="24">
        <f t="shared" si="4"/>
        <v>70000</v>
      </c>
      <c r="AL10" s="24">
        <f t="shared" si="4"/>
        <v>-3882826.0869565234</v>
      </c>
      <c r="AM10" s="24">
        <f t="shared" si="4"/>
        <v>0</v>
      </c>
      <c r="AN10" s="24">
        <f t="shared" si="4"/>
        <v>0</v>
      </c>
      <c r="AO10" s="24">
        <f t="shared" si="4"/>
        <v>0</v>
      </c>
      <c r="AP10" s="24">
        <f t="shared" si="4"/>
        <v>17308044</v>
      </c>
      <c r="AQ10" s="41"/>
      <c r="AR10" s="29">
        <f>SUM(AR9:AR9)</f>
        <v>17113043.913043477</v>
      </c>
      <c r="AS10" s="29">
        <f>SUM(AS9:AS9)</f>
        <v>1645000</v>
      </c>
      <c r="AT10" s="29">
        <f>SUM(AT9:AT9)</f>
        <v>18758043.913043477</v>
      </c>
      <c r="AU10" s="29">
        <f>SUM(AU9:AU9)</f>
        <v>7000000</v>
      </c>
      <c r="AV10" s="29">
        <f>SUM(AV9:AV9)</f>
        <v>1</v>
      </c>
    </row>
    <row r="11" spans="1:48" ht="15.75" x14ac:dyDescent="0.25">
      <c r="A11" s="3"/>
      <c r="B11" s="51" t="s">
        <v>63</v>
      </c>
      <c r="C11" s="10"/>
      <c r="D11" s="10"/>
      <c r="E11" s="51"/>
      <c r="F11" s="10"/>
      <c r="G11" s="10"/>
      <c r="H11" s="51"/>
      <c r="I11" s="11" t="s">
        <v>35</v>
      </c>
      <c r="J11" s="13"/>
      <c r="K11" s="13"/>
      <c r="L11" s="13"/>
      <c r="M11" s="13"/>
      <c r="N11" s="13"/>
      <c r="O11" s="13"/>
      <c r="P11" s="40"/>
      <c r="Q11" s="30" t="s">
        <v>52</v>
      </c>
      <c r="R11" s="30"/>
      <c r="S11" s="31">
        <f t="shared" ref="S11:AP11" si="5">S10+0</f>
        <v>18000000</v>
      </c>
      <c r="T11" s="31">
        <f t="shared" si="5"/>
        <v>7000000</v>
      </c>
      <c r="U11" s="32">
        <f t="shared" si="5"/>
        <v>6086956.5217391299</v>
      </c>
      <c r="V11" s="33">
        <f t="shared" si="5"/>
        <v>9565217.3913043477</v>
      </c>
      <c r="W11" s="34">
        <f t="shared" si="5"/>
        <v>0</v>
      </c>
      <c r="X11" s="31">
        <f t="shared" si="5"/>
        <v>634783</v>
      </c>
      <c r="Y11" s="35">
        <f t="shared" si="5"/>
        <v>434783</v>
      </c>
      <c r="Z11" s="34">
        <f t="shared" si="5"/>
        <v>43478</v>
      </c>
      <c r="AA11" s="34">
        <f t="shared" si="5"/>
        <v>347826</v>
      </c>
      <c r="AB11" s="34">
        <f t="shared" si="5"/>
        <v>0</v>
      </c>
      <c r="AC11" s="34">
        <f t="shared" si="5"/>
        <v>1000000</v>
      </c>
      <c r="AD11" s="34">
        <f t="shared" si="5"/>
        <v>0</v>
      </c>
      <c r="AE11" s="32">
        <f t="shared" si="5"/>
        <v>11000000</v>
      </c>
      <c r="AF11" s="36">
        <f t="shared" si="5"/>
        <v>2</v>
      </c>
      <c r="AG11" s="37">
        <f t="shared" si="5"/>
        <v>8800000</v>
      </c>
      <c r="AH11" s="34">
        <f t="shared" si="5"/>
        <v>560000</v>
      </c>
      <c r="AI11" s="34">
        <f t="shared" si="5"/>
        <v>105000</v>
      </c>
      <c r="AJ11" s="34">
        <f t="shared" si="5"/>
        <v>70000</v>
      </c>
      <c r="AK11" s="34">
        <f t="shared" si="5"/>
        <v>70000</v>
      </c>
      <c r="AL11" s="34">
        <f t="shared" si="5"/>
        <v>-3882826.0869565234</v>
      </c>
      <c r="AM11" s="34">
        <f t="shared" si="5"/>
        <v>0</v>
      </c>
      <c r="AN11" s="34">
        <f t="shared" si="5"/>
        <v>0</v>
      </c>
      <c r="AO11" s="34">
        <f t="shared" si="5"/>
        <v>0</v>
      </c>
      <c r="AP11" s="34">
        <f t="shared" si="5"/>
        <v>17308044</v>
      </c>
      <c r="AQ11" s="42"/>
      <c r="AR11" s="38">
        <f>AR10+0</f>
        <v>17113043.913043477</v>
      </c>
      <c r="AS11" s="38">
        <f>AS10+0</f>
        <v>1645000</v>
      </c>
      <c r="AT11" s="38">
        <f>AT10+0</f>
        <v>18758043.913043477</v>
      </c>
      <c r="AU11" s="38">
        <f>AU10+0</f>
        <v>7000000</v>
      </c>
      <c r="AV11" s="38">
        <f>AV10+0</f>
        <v>1</v>
      </c>
    </row>
    <row r="13" spans="1:48" ht="15.75" x14ac:dyDescent="0.25">
      <c r="Q13" s="45" t="s">
        <v>53</v>
      </c>
      <c r="R13" s="39"/>
      <c r="S13" s="39"/>
      <c r="T13" s="39"/>
      <c r="U13" s="39"/>
      <c r="V13" s="39"/>
      <c r="W13" s="39"/>
      <c r="X13" s="39"/>
      <c r="Y13" s="39"/>
      <c r="Z13" s="53" t="s">
        <v>56</v>
      </c>
      <c r="AA13" s="53"/>
      <c r="AB13" s="53"/>
    </row>
    <row r="14" spans="1:48" ht="15.75" x14ac:dyDescent="0.25">
      <c r="Q14" s="46" t="s">
        <v>54</v>
      </c>
      <c r="R14" s="39"/>
      <c r="S14" s="39"/>
      <c r="T14" s="39"/>
      <c r="U14" s="39"/>
      <c r="V14" s="39"/>
      <c r="W14" s="39"/>
      <c r="X14" s="39"/>
      <c r="Y14" s="39"/>
      <c r="Z14" s="53" t="s">
        <v>57</v>
      </c>
      <c r="AA14" s="53"/>
      <c r="AB14" s="53"/>
      <c r="AP14" s="53" t="s">
        <v>59</v>
      </c>
      <c r="AQ14" s="53"/>
    </row>
    <row r="15" spans="1:48" ht="15.75" x14ac:dyDescent="0.25">
      <c r="Q15" s="47"/>
      <c r="R15" s="39"/>
      <c r="S15" s="39"/>
      <c r="T15" s="39"/>
      <c r="U15" s="39"/>
      <c r="V15" s="39"/>
      <c r="W15" s="39"/>
      <c r="X15" s="39"/>
      <c r="Y15" s="39"/>
      <c r="Z15" s="48"/>
      <c r="AA15" s="48"/>
      <c r="AB15" s="48"/>
      <c r="AP15" s="53" t="s">
        <v>60</v>
      </c>
      <c r="AQ15" s="53"/>
    </row>
    <row r="16" spans="1:48" ht="15.75" x14ac:dyDescent="0.25">
      <c r="Q16" s="47"/>
      <c r="R16" s="39"/>
      <c r="S16" s="39"/>
      <c r="T16" s="39"/>
      <c r="U16" s="39"/>
      <c r="V16" s="39"/>
      <c r="W16" s="39"/>
      <c r="X16" s="39"/>
      <c r="Y16" s="39"/>
      <c r="Z16" s="48"/>
      <c r="AA16" s="48"/>
      <c r="AB16" s="48"/>
      <c r="AP16" s="49"/>
      <c r="AQ16" s="49"/>
    </row>
    <row r="17" spans="17:43" ht="15.75" x14ac:dyDescent="0.25">
      <c r="Q17" s="47"/>
      <c r="R17" s="39"/>
      <c r="S17" s="39"/>
      <c r="T17" s="39"/>
      <c r="U17" s="39"/>
      <c r="V17" s="39"/>
      <c r="W17" s="39"/>
      <c r="X17" s="39"/>
      <c r="Y17" s="39"/>
      <c r="Z17" s="48"/>
      <c r="AA17" s="48"/>
      <c r="AB17" s="48"/>
      <c r="AP17" s="49"/>
      <c r="AQ17" s="49"/>
    </row>
    <row r="18" spans="17:43" ht="15.75" x14ac:dyDescent="0.25">
      <c r="Q18" s="47"/>
      <c r="R18" s="39"/>
      <c r="S18" s="39"/>
      <c r="T18" s="39"/>
      <c r="U18" s="39"/>
      <c r="V18" s="39"/>
      <c r="W18" s="39"/>
      <c r="X18" s="39"/>
      <c r="Y18" s="39"/>
      <c r="Z18" s="48"/>
      <c r="AA18" s="48"/>
      <c r="AB18" s="48"/>
      <c r="AP18" s="49"/>
      <c r="AQ18" s="49"/>
    </row>
    <row r="19" spans="17:43" ht="23.25" customHeight="1" x14ac:dyDescent="0.25">
      <c r="Q19" s="47" t="s">
        <v>55</v>
      </c>
      <c r="R19" s="39"/>
      <c r="S19" s="39"/>
      <c r="T19" s="39"/>
      <c r="U19" s="39"/>
      <c r="V19" s="39"/>
      <c r="W19" s="39"/>
      <c r="X19" s="39"/>
      <c r="Y19" s="39"/>
      <c r="Z19" s="54" t="s">
        <v>58</v>
      </c>
      <c r="AA19" s="54"/>
      <c r="AB19" s="54"/>
      <c r="AP19" s="54" t="s">
        <v>61</v>
      </c>
      <c r="AQ19" s="54"/>
    </row>
    <row r="20" spans="17:43" ht="15.75" x14ac:dyDescent="0.25">
      <c r="Q20" s="46" t="str">
        <f>"Ngày ....../....../2022"</f>
        <v>Ngày ....../....../2022</v>
      </c>
      <c r="R20" s="39"/>
      <c r="S20" s="39"/>
      <c r="T20" s="39"/>
      <c r="U20" s="39"/>
      <c r="V20" s="39"/>
      <c r="W20" s="39"/>
      <c r="X20" s="39"/>
      <c r="Y20" s="39"/>
      <c r="Z20" s="55" t="str">
        <f>"Ngày ....../....../2022"</f>
        <v>Ngày ....../....../2022</v>
      </c>
      <c r="AA20" s="55"/>
      <c r="AB20" s="55"/>
      <c r="AP20" s="55" t="str">
        <f>"Ngày 09/06/2022"</f>
        <v>Ngày 09/06/2022</v>
      </c>
      <c r="AQ20" s="55"/>
    </row>
  </sheetData>
  <mergeCells count="49">
    <mergeCell ref="A8:AV8"/>
    <mergeCell ref="AV6:AV7"/>
    <mergeCell ref="T6:T7"/>
    <mergeCell ref="V6:V7"/>
    <mergeCell ref="U6:U7"/>
    <mergeCell ref="AU6:AU7"/>
    <mergeCell ref="W6:AB6"/>
    <mergeCell ref="AE6:AE7"/>
    <mergeCell ref="AF6:AF7"/>
    <mergeCell ref="AG6:AG7"/>
    <mergeCell ref="AH6:AM6"/>
    <mergeCell ref="AP6:AP7"/>
    <mergeCell ref="AQ6:AQ7"/>
    <mergeCell ref="AR6:AR7"/>
    <mergeCell ref="AS6:AS7"/>
    <mergeCell ref="AT6:AT7"/>
    <mergeCell ref="AC6:AC7"/>
    <mergeCell ref="AD6:AD7"/>
    <mergeCell ref="P6:P7"/>
    <mergeCell ref="A6:A7"/>
    <mergeCell ref="B6:B7"/>
    <mergeCell ref="C6:C7"/>
    <mergeCell ref="E6:E7"/>
    <mergeCell ref="F6:F7"/>
    <mergeCell ref="D6:D7"/>
    <mergeCell ref="AN6:AN7"/>
    <mergeCell ref="AO6:AO7"/>
    <mergeCell ref="A3:AU3"/>
    <mergeCell ref="A4:AU4"/>
    <mergeCell ref="G6:G7"/>
    <mergeCell ref="H6:H7"/>
    <mergeCell ref="Q6:Q7"/>
    <mergeCell ref="R6:R7"/>
    <mergeCell ref="S6:S7"/>
    <mergeCell ref="I6:I7"/>
    <mergeCell ref="J6:J7"/>
    <mergeCell ref="K6:K7"/>
    <mergeCell ref="L6:L7"/>
    <mergeCell ref="M6:M7"/>
    <mergeCell ref="N6:N7"/>
    <mergeCell ref="O6:O7"/>
    <mergeCell ref="Z13:AB13"/>
    <mergeCell ref="Z14:AB14"/>
    <mergeCell ref="Z19:AB19"/>
    <mergeCell ref="Z20:AB20"/>
    <mergeCell ref="AP14:AQ14"/>
    <mergeCell ref="AP15:AQ15"/>
    <mergeCell ref="AP19:AQ19"/>
    <mergeCell ref="AP20:AQ20"/>
  </mergeCells>
  <pageMargins left="0.7" right="0.7" top="0.75" bottom="0.75" header="0.3" footer="0.3"/>
  <pageSetup paperSize="9" scale="3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Thông báo" error="Cột xếp loại chỉ nhận các giá trị A, B, C, D. Không được để trống!" promptTitle="Xếp loại" prompt="Chọn xếp loại trong tháng từ danh sách" xr:uid="{538729CF-DAC8-48CA-9E8D-EF94CDC618D6}">
          <x14:formula1>
            <xm:f>XepLoai!$A$2:$A$5</xm:f>
          </x14:formula1>
          <xm:sqref>I9:I11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" sqref="A2:B6"/>
    </sheetView>
  </sheetViews>
  <sheetFormatPr defaultColWidth="9" defaultRowHeight="15" x14ac:dyDescent="0.25"/>
  <cols>
    <col min="1" max="2" width="10.42578125" customWidth="1"/>
  </cols>
  <sheetData>
    <row r="1" spans="1:2" x14ac:dyDescent="0.25">
      <c r="A1" t="s">
        <v>43</v>
      </c>
      <c r="B1" s="15" t="s">
        <v>44</v>
      </c>
    </row>
    <row r="2" spans="1:2" x14ac:dyDescent="0.25">
      <c r="A2" t="s">
        <v>35</v>
      </c>
      <c r="B2" s="15">
        <v>1</v>
      </c>
    </row>
    <row r="3" spans="1:2" x14ac:dyDescent="0.25">
      <c r="A3" t="s">
        <v>36</v>
      </c>
      <c r="B3" s="15">
        <v>1</v>
      </c>
    </row>
    <row r="4" spans="1:2" x14ac:dyDescent="0.25">
      <c r="A4" t="s">
        <v>37</v>
      </c>
      <c r="B4" s="15">
        <v>0.9</v>
      </c>
    </row>
    <row r="5" spans="1:2" x14ac:dyDescent="0.25">
      <c r="A5" t="s">
        <v>38</v>
      </c>
      <c r="B5" s="15">
        <v>0.5</v>
      </c>
    </row>
    <row r="6" spans="1:2" x14ac:dyDescent="0.25">
      <c r="A6" t="s">
        <v>65</v>
      </c>
      <c r="B6" s="15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XepLoai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Tuấn Dương</dc:creator>
  <cp:keywords/>
  <dc:description/>
  <cp:lastModifiedBy>Nguyễn Minh Anh</cp:lastModifiedBy>
  <cp:lastPrinted>2021-05-29T06:08:18Z</cp:lastPrinted>
  <dcterms:created xsi:type="dcterms:W3CDTF">2021-05-27T03:03:20Z</dcterms:created>
  <dcterms:modified xsi:type="dcterms:W3CDTF">2023-06-09T06:51:11Z</dcterms:modified>
  <cp:category/>
  <cp:contentStatus/>
</cp:coreProperties>
</file>